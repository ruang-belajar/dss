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-Matching" sheetId="1" r:id="rId4"/>
    <sheet state="visible" name="Tentang Sheet" sheetId="2" r:id="rId5"/>
  </sheets>
  <definedNames/>
  <calcPr/>
</workbook>
</file>

<file path=xl/sharedStrings.xml><?xml version="1.0" encoding="utf-8"?>
<sst xmlns="http://schemas.openxmlformats.org/spreadsheetml/2006/main" count="159" uniqueCount="92">
  <si>
    <t>Contoh Perhitungan Metode Profile Matching</t>
  </si>
  <si>
    <t>Studi kasus: Seleksi Penerima Beasiswa</t>
  </si>
  <si>
    <t/>
  </si>
  <si>
    <t>ID_Kriteria</t>
  </si>
  <si>
    <t>Nama_Kriteria</t>
  </si>
  <si>
    <t>Jenis_Kriteria</t>
  </si>
  <si>
    <t>Selisih</t>
  </si>
  <si>
    <t>Bobot Nilai</t>
  </si>
  <si>
    <t>Keterangan</t>
  </si>
  <si>
    <t>IPK</t>
  </si>
  <si>
    <t>Core Factor</t>
  </si>
  <si>
    <t>Tak Ada Selisih (kompetensi sesuai yang dibutuhkan)</t>
  </si>
  <si>
    <t>Penghasilan Orang Tua</t>
  </si>
  <si>
    <t>Kompetensi individu kelebihan 1 tingkat/level</t>
  </si>
  <si>
    <t>Jumlah Tanggungan</t>
  </si>
  <si>
    <t>Secondary Factor</t>
  </si>
  <si>
    <t>Kompetensi individu kekurangan 1 tingkat/level</t>
  </si>
  <si>
    <t>Semester</t>
  </si>
  <si>
    <t>Kompetensi individu kelebihan 2 tingkat/level</t>
  </si>
  <si>
    <t>Kompetensi individu kekurangan 2 tingkat/level</t>
  </si>
  <si>
    <t>Kompetensi individu kelebihan 3 tingkat/level</t>
  </si>
  <si>
    <t>ID_Sub</t>
  </si>
  <si>
    <t>Kriteria</t>
  </si>
  <si>
    <t>Nama_Sub_Kriteria</t>
  </si>
  <si>
    <t>Nilai</t>
  </si>
  <si>
    <t>Kompetensi individu kekurangan 3 tingkat/level</t>
  </si>
  <si>
    <t>1. IPK</t>
  </si>
  <si>
    <t>&lt; 2.5</t>
  </si>
  <si>
    <t>Kompetensi individu kelebihan 4 tingkat/level</t>
  </si>
  <si>
    <t>&gt;= 2.5 dan &lt; 3</t>
  </si>
  <si>
    <t>Kompetensi individu kekurangan 4 tingkat/level</t>
  </si>
  <si>
    <t>&gt;= 3 dan &lt; 3.5</t>
  </si>
  <si>
    <t>&gt;= 3.5</t>
  </si>
  <si>
    <t>ID_Mahasiswa</t>
  </si>
  <si>
    <t>Nama_Mahasiswa</t>
  </si>
  <si>
    <t>2. Penghasilan Orang Tua</t>
  </si>
  <si>
    <t>&lt; 1,500,000</t>
  </si>
  <si>
    <t>AFIKA</t>
  </si>
  <si>
    <t>&gt;= 1,500,000 dan &lt; 3,000,000</t>
  </si>
  <si>
    <t>AQILA</t>
  </si>
  <si>
    <t>&gt;= 3,000,000 dan &lt; 5,000,000</t>
  </si>
  <si>
    <t>ADIVA</t>
  </si>
  <si>
    <t>&gt;= 5,000,000</t>
  </si>
  <si>
    <t>AMIRA</t>
  </si>
  <si>
    <t>3. Jumlah Tanggungan</t>
  </si>
  <si>
    <t>Jumlah 1</t>
  </si>
  <si>
    <t>Jumlah 2</t>
  </si>
  <si>
    <t>Jumlah 3</t>
  </si>
  <si>
    <t>Jumlah &gt; 3</t>
  </si>
  <si>
    <t>4. Semester</t>
  </si>
  <si>
    <t>Semeter &lt;= 2 atau &gt; 8</t>
  </si>
  <si>
    <t>Profil Standar yang Dipilih (Dicari)</t>
  </si>
  <si>
    <t>Semester 3</t>
  </si>
  <si>
    <t>Sub Kriteria yg Dipilih</t>
  </si>
  <si>
    <t>Nilai Profil Standar yg Dipilih</t>
  </si>
  <si>
    <t>Semester 4</t>
  </si>
  <si>
    <t>1. IPK1</t>
  </si>
  <si>
    <t>3. &gt;= 3 dan &lt; 3.5</t>
  </si>
  <si>
    <t>Semester 5 dan 6</t>
  </si>
  <si>
    <t>7. &gt;= 3,000,000 dan &lt; 5,000,000</t>
  </si>
  <si>
    <t>Semester 7 dan 8</t>
  </si>
  <si>
    <t>12. Jumlah &gt; 3</t>
  </si>
  <si>
    <t>15. Semester 4</t>
  </si>
  <si>
    <t>Nilai Profil Mahasiswa</t>
  </si>
  <si>
    <t>Perhitungan</t>
  </si>
  <si>
    <t>ID_Nilai_Profil</t>
  </si>
  <si>
    <t>Mahasiswa</t>
  </si>
  <si>
    <t>Sub_Kriteria</t>
  </si>
  <si>
    <t>Nilai_Profil</t>
  </si>
  <si>
    <t>Nilai Profil Standar</t>
  </si>
  <si>
    <t>Gap</t>
  </si>
  <si>
    <t>Nilai Gap</t>
  </si>
  <si>
    <t>Rata2</t>
  </si>
  <si>
    <t>Total Nilai</t>
  </si>
  <si>
    <t>1. AFIKA</t>
  </si>
  <si>
    <t>Core (60%)</t>
  </si>
  <si>
    <t>8. &gt;= 5,000,000</t>
  </si>
  <si>
    <t>Secondary (40%)</t>
  </si>
  <si>
    <t>2. AQILA</t>
  </si>
  <si>
    <t>4. &gt;= 3.5</t>
  </si>
  <si>
    <t>11. Jumlah 3</t>
  </si>
  <si>
    <t>3. ADIVA</t>
  </si>
  <si>
    <t>16. Semester 5 dan 6</t>
  </si>
  <si>
    <t>4. AMIRA</t>
  </si>
  <si>
    <t>2. &gt;= 2.5 dan &lt; 3</t>
  </si>
  <si>
    <t>6. &gt;= 1,500,000 dan &lt; 3,000,000</t>
  </si>
  <si>
    <t>10. Jumlah 2</t>
  </si>
  <si>
    <t>Hasil Analisis SPK Metode Profile Matching Menunjukan Bahwa,</t>
  </si>
  <si>
    <t>Nilai Tertinggi di peroleh:</t>
  </si>
  <si>
    <t>AQILA dengan Nilai : 4.85</t>
  </si>
  <si>
    <r>
      <rPr/>
      <t xml:space="preserve">Sheet ini diambil dari </t>
    </r>
    <r>
      <rPr>
        <color rgb="FF1155CC"/>
        <u/>
      </rPr>
      <t>https://www.kodingbuton.com</t>
    </r>
  </si>
  <si>
    <t>Sheet ini sudah mengalami modifikasi dari sumber aslinya untuk keperluan pembelajaran kuliah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</si>
</sst>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4">
    <font>
      <sz val="11.0"/>
      <color theme="1"/>
      <name val="Calibri"/>
      <scheme val="minor"/>
    </font>
    <font>
      <sz val="11.0"/>
      <color theme="1"/>
      <name val="Century Gothic"/>
    </font>
    <font>
      <b/>
      <sz val="16.0"/>
      <color rgb="FFFF0066"/>
      <name val="Century Gothic"/>
    </font>
    <font/>
    <font>
      <b/>
      <sz val="16.0"/>
      <color rgb="FF66FFFF"/>
      <name val="Century Gothic"/>
    </font>
    <font>
      <u/>
      <sz val="11.0"/>
      <color theme="10"/>
      <name val="Century Gothic"/>
    </font>
    <font>
      <b/>
      <sz val="11.0"/>
      <color theme="1"/>
      <name val="Century Gothic"/>
    </font>
    <font>
      <b/>
      <sz val="11.0"/>
      <color rgb="FF9C0006"/>
      <name val="Calibri"/>
    </font>
    <font>
      <b/>
      <sz val="11.0"/>
      <color rgb="FF9C0006"/>
      <name val="Century Gothic"/>
    </font>
    <font>
      <sz val="11.0"/>
      <color theme="1"/>
      <name val="Calibri"/>
    </font>
    <font>
      <sz val="12.0"/>
      <color theme="1"/>
      <name val="Century Gothic"/>
    </font>
    <font>
      <b/>
      <sz val="11.0"/>
      <color rgb="FF44546A"/>
      <name val="Century Gothic"/>
    </font>
    <font>
      <u/>
      <color rgb="FF0000FF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7C80"/>
        <bgColor rgb="FFFF7C80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66FFFF"/>
        <bgColor rgb="FF66FFFF"/>
      </patternFill>
    </fill>
    <fill>
      <patternFill patternType="solid">
        <fgColor rgb="FFFEF2CB"/>
        <bgColor rgb="FFFEF2CB"/>
      </patternFill>
    </fill>
    <fill>
      <patternFill patternType="solid">
        <fgColor rgb="FFFFCCFF"/>
        <bgColor rgb="FFFFCCFF"/>
      </patternFill>
    </fill>
    <fill>
      <patternFill patternType="solid">
        <fgColor rgb="FFFFC7CE"/>
        <bgColor rgb="FFFFC7CE"/>
      </patternFill>
    </fill>
  </fills>
  <borders count="62">
    <border/>
    <border>
      <left/>
      <top style="double">
        <color rgb="FFFF0066"/>
      </top>
      <bottom style="double">
        <color rgb="FFFF0066"/>
      </bottom>
    </border>
    <border>
      <top style="double">
        <color rgb="FFFF0066"/>
      </top>
      <bottom style="double">
        <color rgb="FFFF0066"/>
      </bottom>
    </border>
    <border>
      <right/>
      <top style="double">
        <color rgb="FFFF0066"/>
      </top>
      <bottom style="double">
        <color rgb="FFFF0066"/>
      </bottom>
    </border>
    <border>
      <left/>
      <right style="dotted">
        <color rgb="FF00CCFF"/>
      </right>
      <top style="double">
        <color rgb="FF00CCFF"/>
      </top>
      <bottom style="dotted">
        <color rgb="FF00CCFF"/>
      </bottom>
    </border>
    <border>
      <left style="dotted">
        <color rgb="FF00CCFF"/>
      </left>
      <right style="dotted">
        <color rgb="FF00CCFF"/>
      </right>
      <top style="double">
        <color rgb="FF00CCFF"/>
      </top>
      <bottom style="dotted">
        <color rgb="FF00CCFF"/>
      </bottom>
    </border>
    <border>
      <left style="dotted">
        <color rgb="FF00CCFF"/>
      </left>
      <right/>
      <top style="double">
        <color rgb="FF00CCFF"/>
      </top>
      <bottom style="dotted">
        <color rgb="FF00CCFF"/>
      </bottom>
    </border>
    <border>
      <left style="double">
        <color rgb="FFFF0066"/>
      </left>
      <right style="dotted">
        <color rgb="FFFF0066"/>
      </right>
      <top style="double">
        <color rgb="FFFF0066"/>
      </top>
      <bottom style="dotted">
        <color rgb="FFFF0066"/>
      </bottom>
    </border>
    <border>
      <left style="dotted">
        <color rgb="FFFF0066"/>
      </left>
      <right style="dotted">
        <color rgb="FFFF0066"/>
      </right>
      <top style="double">
        <color rgb="FFFF0066"/>
      </top>
      <bottom style="dotted">
        <color rgb="FFFF0066"/>
      </bottom>
    </border>
    <border>
      <left style="dotted">
        <color rgb="FFFF0066"/>
      </left>
      <top style="double">
        <color rgb="FFFF0066"/>
      </top>
      <bottom style="dotted">
        <color rgb="FFFF0066"/>
      </bottom>
    </border>
    <border>
      <top style="double">
        <color rgb="FFFF0066"/>
      </top>
      <bottom style="dotted">
        <color rgb="FFFF0066"/>
      </bottom>
    </border>
    <border>
      <right style="double">
        <color rgb="FFFF0066"/>
      </right>
      <top style="double">
        <color rgb="FFFF0066"/>
      </top>
      <bottom style="dotted">
        <color rgb="FFFF0066"/>
      </bottom>
    </border>
    <border>
      <left/>
      <right style="dotted">
        <color rgb="FF00CCFF"/>
      </right>
      <top style="dotted">
        <color rgb="FF00CCFF"/>
      </top>
      <bottom style="dotted">
        <color rgb="FF00CCFF"/>
      </bottom>
    </border>
    <border>
      <left style="dotted">
        <color rgb="FF00CCFF"/>
      </left>
      <right style="dotted">
        <color rgb="FF00CCFF"/>
      </right>
      <top style="dotted">
        <color rgb="FF00CCFF"/>
      </top>
      <bottom style="dotted">
        <color rgb="FF00CCFF"/>
      </bottom>
    </border>
    <border>
      <left style="dotted">
        <color rgb="FF00CCFF"/>
      </left>
      <right/>
      <top style="dotted">
        <color rgb="FF00CCFF"/>
      </top>
      <bottom style="dotted">
        <color rgb="FF00CCFF"/>
      </bottom>
    </border>
    <border>
      <left style="double">
        <color rgb="FFFF0066"/>
      </left>
      <right style="dotted">
        <color rgb="FFFF0066"/>
      </right>
      <top style="dotted">
        <color rgb="FFFF0066"/>
      </top>
      <bottom style="dotted">
        <color rgb="FFFF0066"/>
      </bottom>
    </border>
    <border>
      <left style="dotted">
        <color rgb="FFFF0066"/>
      </left>
      <right style="dotted">
        <color rgb="FFFF0066"/>
      </right>
      <top style="dotted">
        <color rgb="FFFF0066"/>
      </top>
      <bottom style="dotted">
        <color rgb="FFFF0066"/>
      </bottom>
    </border>
    <border>
      <left style="dotted">
        <color rgb="FFFF0066"/>
      </left>
      <right style="double">
        <color rgb="FFFF0066"/>
      </right>
      <top style="dotted">
        <color rgb="FFFF0066"/>
      </top>
      <bottom style="dotted">
        <color rgb="FFFF0066"/>
      </bottom>
    </border>
    <border>
      <left style="dotted">
        <color rgb="FFFF0066"/>
      </left>
      <right/>
      <top style="dotted">
        <color rgb="FFFF0066"/>
      </top>
      <bottom style="dotted">
        <color rgb="FFFF0066"/>
      </bottom>
    </border>
    <border>
      <left/>
      <right style="double">
        <color rgb="FFFF0066"/>
      </right>
      <top style="dotted">
        <color rgb="FFFF0066"/>
      </top>
      <bottom style="dotted">
        <color rgb="FFFF0066"/>
      </bottom>
    </border>
    <border>
      <left/>
      <right style="dotted">
        <color rgb="FF00CCFF"/>
      </right>
      <top style="dotted">
        <color rgb="FF00CCFF"/>
      </top>
      <bottom style="double">
        <color rgb="FF00CCFF"/>
      </bottom>
    </border>
    <border>
      <left style="dotted">
        <color rgb="FF00CCFF"/>
      </left>
      <right style="dotted">
        <color rgb="FF00CCFF"/>
      </right>
      <top style="dotted">
        <color rgb="FF00CCFF"/>
      </top>
      <bottom style="double">
        <color rgb="FF00CCFF"/>
      </bottom>
    </border>
    <border>
      <left style="dotted">
        <color rgb="FF00CCFF"/>
      </left>
      <right/>
      <top style="dotted">
        <color rgb="FF00CCFF"/>
      </top>
      <bottom style="double">
        <color rgb="FF00CCFF"/>
      </bottom>
    </border>
    <border>
      <left style="double">
        <color rgb="FFFF0066"/>
      </left>
      <right style="dotted">
        <color rgb="FFFF0066"/>
      </right>
      <top style="double">
        <color rgb="FFFF0066"/>
      </top>
      <bottom/>
    </border>
    <border>
      <left style="dotted">
        <color rgb="FFFF0066"/>
      </left>
      <right style="dotted">
        <color rgb="FFFF0066"/>
      </right>
      <top style="double">
        <color rgb="FFFF0066"/>
      </top>
      <bottom/>
    </border>
    <border>
      <left style="dotted">
        <color rgb="FFFF0066"/>
      </left>
      <right style="double">
        <color rgb="FFFF0066"/>
      </right>
      <top style="double">
        <color rgb="FFFF0066"/>
      </top>
      <bottom/>
    </border>
    <border>
      <left style="double">
        <color rgb="FFFF0066"/>
      </left>
      <right style="dotted">
        <color rgb="FFFF0066"/>
      </right>
      <top style="dotted">
        <color rgb="FFFF0066"/>
      </top>
      <bottom style="double">
        <color rgb="FFFF0066"/>
      </bottom>
    </border>
    <border>
      <left style="dotted">
        <color rgb="FFFF0066"/>
      </left>
      <right style="dotted">
        <color rgb="FFFF0066"/>
      </right>
      <top style="dotted">
        <color rgb="FFFF0066"/>
      </top>
      <bottom style="double">
        <color rgb="FFFF0066"/>
      </bottom>
    </border>
    <border>
      <left style="dotted">
        <color rgb="FFFF0066"/>
      </left>
      <right/>
      <top style="dotted">
        <color rgb="FFFF0066"/>
      </top>
      <bottom style="double">
        <color rgb="FFFF0066"/>
      </bottom>
    </border>
    <border>
      <left/>
      <right style="double">
        <color rgb="FFFF0066"/>
      </right>
      <top style="dotted">
        <color rgb="FFFF0066"/>
      </top>
      <bottom style="double">
        <color rgb="FFFF0066"/>
      </bottom>
    </border>
    <border>
      <left/>
      <right/>
      <top style="dotted">
        <color rgb="FFFF6699"/>
      </top>
      <bottom style="dotted">
        <color rgb="FFFF6699"/>
      </bottom>
    </border>
    <border>
      <left/>
      <right/>
      <top style="dotted">
        <color rgb="FF00CCFF"/>
      </top>
      <bottom style="dotted">
        <color rgb="FF00CCFF"/>
      </bottom>
    </border>
    <border>
      <left/>
      <right/>
      <top/>
      <bottom/>
    </border>
    <border>
      <right style="dotted">
        <color rgb="FFFF0066"/>
      </right>
      <top style="double">
        <color rgb="FFFF0066"/>
      </top>
      <bottom style="dotted">
        <color rgb="FFFF0066"/>
      </bottom>
    </border>
    <border>
      <left style="dotted">
        <color rgb="FFFF0066"/>
      </left>
      <right style="double">
        <color rgb="FFFF0066"/>
      </right>
      <top style="double">
        <color rgb="FFFF0066"/>
      </top>
      <bottom style="dotted">
        <color rgb="FFFF0066"/>
      </bottom>
    </border>
    <border>
      <left style="dotted">
        <color rgb="FFFF0066"/>
      </left>
      <top style="dotted">
        <color rgb="FFFF0066"/>
      </top>
      <bottom style="dotted">
        <color rgb="FFFF0066"/>
      </bottom>
    </border>
    <border>
      <right style="dotted">
        <color rgb="FFFF0066"/>
      </right>
      <top style="dotted">
        <color rgb="FFFF0066"/>
      </top>
      <bottom style="dotted">
        <color rgb="FFFF0066"/>
      </bottom>
    </border>
    <border>
      <right style="double">
        <color rgb="FFFF0066"/>
      </right>
      <top style="dotted">
        <color rgb="FFFF0066"/>
      </top>
      <bottom style="dotted">
        <color rgb="FFFF0066"/>
      </bottom>
    </border>
    <border>
      <left style="dotted">
        <color rgb="FFFF0066"/>
      </left>
      <right style="double">
        <color rgb="FFFF0066"/>
      </right>
      <top style="dotted">
        <color rgb="FFFF0066"/>
      </top>
      <bottom style="double">
        <color rgb="FFFF0066"/>
      </bottom>
    </border>
    <border>
      <left style="dotted">
        <color rgb="FFFF0066"/>
      </left>
      <top style="dotted">
        <color rgb="FFFF0066"/>
      </top>
      <bottom style="double">
        <color rgb="FFFF0066"/>
      </bottom>
    </border>
    <border>
      <right style="dotted">
        <color rgb="FFFF0066"/>
      </right>
      <top style="dotted">
        <color rgb="FFFF0066"/>
      </top>
      <bottom style="double">
        <color rgb="FFFF0066"/>
      </bottom>
    </border>
    <border>
      <right style="double">
        <color rgb="FFFF0066"/>
      </right>
      <top style="dotted">
        <color rgb="FFFF0066"/>
      </top>
      <bottom style="double">
        <color rgb="FFFF0066"/>
      </bottom>
    </border>
    <border>
      <left/>
      <top/>
      <bottom/>
    </border>
    <border>
      <right/>
      <top/>
      <bottom/>
    </border>
    <border>
      <left style="double">
        <color rgb="FFFF0066"/>
      </left>
      <right style="dotted">
        <color rgb="FFFF0066"/>
      </right>
      <top style="double">
        <color rgb="FFFF0066"/>
      </top>
      <bottom style="double">
        <color rgb="FFFF0066"/>
      </bottom>
    </border>
    <border>
      <left style="dotted">
        <color rgb="FFFF0066"/>
      </left>
      <right style="dotted">
        <color rgb="FFFF0066"/>
      </right>
      <top style="double">
        <color rgb="FFFF0066"/>
      </top>
      <bottom style="double">
        <color rgb="FFFF0066"/>
      </bottom>
    </border>
    <border>
      <left style="dotted">
        <color rgb="FFFF0066"/>
      </left>
      <right style="double">
        <color rgb="FFFF0066"/>
      </right>
      <top style="double">
        <color rgb="FFFF0066"/>
      </top>
      <bottom style="double">
        <color rgb="FFFF0066"/>
      </bottom>
    </border>
    <border>
      <left style="double">
        <color rgb="FFFF0066"/>
      </left>
      <right style="dotted">
        <color rgb="FFFF0066"/>
      </right>
      <top/>
      <bottom style="dotted">
        <color rgb="FFFF0066"/>
      </bottom>
    </border>
    <border>
      <left style="dotted">
        <color rgb="FFFF0066"/>
      </left>
      <right style="dotted">
        <color rgb="FFFF0066"/>
      </right>
      <top/>
      <bottom style="dotted">
        <color rgb="FFFF0066"/>
      </bottom>
    </border>
    <border>
      <left style="dotted">
        <color rgb="FFFF0066"/>
      </left>
      <right style="dotted">
        <color rgb="FFFF0066"/>
      </right>
      <top/>
    </border>
    <border>
      <left style="dotted">
        <color rgb="FFFF0066"/>
      </left>
      <right style="double">
        <color rgb="FFFF0066"/>
      </right>
      <top/>
    </border>
    <border>
      <left style="dotted">
        <color rgb="FFFF0066"/>
      </left>
      <right style="dotted">
        <color rgb="FFFF0066"/>
      </right>
      <bottom style="dotted">
        <color rgb="FFFF0066"/>
      </bottom>
    </border>
    <border>
      <left style="dotted">
        <color rgb="FFFF0066"/>
      </left>
      <right style="double">
        <color rgb="FFFF0066"/>
      </right>
    </border>
    <border>
      <left style="dotted">
        <color rgb="FFFF0066"/>
      </left>
      <right style="dotted">
        <color rgb="FFFF0066"/>
      </right>
      <top style="dotted">
        <color rgb="FFFF0066"/>
      </top>
    </border>
    <border>
      <left style="dotted">
        <color rgb="FFFF0066"/>
      </left>
      <right style="dotted">
        <color rgb="FFFF0066"/>
      </right>
      <bottom style="double">
        <color rgb="FFFF0066"/>
      </bottom>
    </border>
    <border>
      <left style="dotted">
        <color rgb="FFFF0066"/>
      </left>
      <right style="double">
        <color rgb="FFFF0066"/>
      </right>
      <bottom style="double">
        <color rgb="FFFF0066"/>
      </bottom>
    </border>
    <border>
      <left style="dotted">
        <color rgb="FFFF0066"/>
      </left>
      <right style="dotted">
        <color rgb="FFFF0066"/>
      </right>
      <top style="double">
        <color rgb="FFFF0066"/>
      </top>
    </border>
    <border>
      <left style="dotted">
        <color rgb="FFFF0066"/>
      </left>
      <right style="double">
        <color rgb="FFFF0066"/>
      </right>
      <top style="double">
        <color rgb="FFFF0066"/>
      </top>
    </border>
    <border>
      <bottom style="medium">
        <color rgb="FFFF0066"/>
      </bottom>
    </border>
    <border>
      <top style="double">
        <color rgb="FFFF0066"/>
      </top>
    </border>
    <border>
      <bottom style="medium">
        <color rgb="FF00CCFF"/>
      </bottom>
    </border>
    <border>
      <top style="medium">
        <color rgb="FFFF0066"/>
      </top>
      <bottom style="medium">
        <color rgb="FF00CCFF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0" fillId="0" fontId="5" numFmtId="0" xfId="0" applyFont="1"/>
    <xf borderId="4" fillId="4" fontId="6" numFmtId="164" xfId="0" applyBorder="1" applyFill="1" applyFont="1" applyNumberFormat="1"/>
    <xf borderId="5" fillId="4" fontId="6" numFmtId="164" xfId="0" applyBorder="1" applyFont="1" applyNumberFormat="1"/>
    <xf borderId="6" fillId="4" fontId="6" numFmtId="164" xfId="0" applyBorder="1" applyFont="1" applyNumberFormat="1"/>
    <xf borderId="7" fillId="4" fontId="6" numFmtId="0" xfId="0" applyBorder="1" applyFont="1"/>
    <xf borderId="8" fillId="4" fontId="6" numFmtId="0" xfId="0" applyBorder="1" applyFont="1"/>
    <xf borderId="9" fillId="4" fontId="6" numFmtId="0" xfId="0" applyAlignment="1" applyBorder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5" fontId="1" numFmtId="164" xfId="0" applyAlignment="1" applyBorder="1" applyFill="1" applyFont="1" applyNumberFormat="1">
      <alignment horizontal="center"/>
    </xf>
    <xf borderId="13" fillId="5" fontId="1" numFmtId="164" xfId="0" applyBorder="1" applyFont="1" applyNumberFormat="1"/>
    <xf borderId="14" fillId="5" fontId="1" numFmtId="164" xfId="0" applyBorder="1" applyFont="1" applyNumberFormat="1"/>
    <xf borderId="15" fillId="2" fontId="1" numFmtId="0" xfId="0" applyAlignment="1" applyBorder="1" applyFont="1">
      <alignment horizontal="center"/>
    </xf>
    <xf borderId="16" fillId="2" fontId="1" numFmtId="0" xfId="0" applyAlignment="1" applyBorder="1" applyFont="1">
      <alignment horizontal="center"/>
    </xf>
    <xf borderId="16" fillId="2" fontId="1" numFmtId="0" xfId="0" applyBorder="1" applyFont="1"/>
    <xf borderId="17" fillId="2" fontId="1" numFmtId="0" xfId="0" applyBorder="1" applyFont="1"/>
    <xf borderId="12" fillId="6" fontId="1" numFmtId="164" xfId="0" applyAlignment="1" applyBorder="1" applyFill="1" applyFont="1" applyNumberFormat="1">
      <alignment horizontal="center"/>
    </xf>
    <xf borderId="13" fillId="6" fontId="1" numFmtId="164" xfId="0" applyBorder="1" applyFont="1" applyNumberFormat="1"/>
    <xf borderId="14" fillId="6" fontId="1" numFmtId="164" xfId="0" applyBorder="1" applyFont="1" applyNumberFormat="1"/>
    <xf borderId="18" fillId="2" fontId="1" numFmtId="0" xfId="0" applyBorder="1" applyFont="1"/>
    <xf borderId="19" fillId="2" fontId="1" numFmtId="0" xfId="0" applyBorder="1" applyFont="1"/>
    <xf borderId="12" fillId="7" fontId="1" numFmtId="164" xfId="0" applyAlignment="1" applyBorder="1" applyFill="1" applyFont="1" applyNumberFormat="1">
      <alignment horizontal="center"/>
    </xf>
    <xf borderId="13" fillId="7" fontId="1" numFmtId="164" xfId="0" applyBorder="1" applyFont="1" applyNumberFormat="1"/>
    <xf borderId="14" fillId="7" fontId="1" numFmtId="164" xfId="0" applyBorder="1" applyFont="1" applyNumberFormat="1"/>
    <xf borderId="20" fillId="8" fontId="1" numFmtId="164" xfId="0" applyAlignment="1" applyBorder="1" applyFill="1" applyFont="1" applyNumberFormat="1">
      <alignment horizontal="center"/>
    </xf>
    <xf borderId="21" fillId="8" fontId="1" numFmtId="164" xfId="0" applyBorder="1" applyFont="1" applyNumberFormat="1"/>
    <xf borderId="22" fillId="8" fontId="1" numFmtId="164" xfId="0" applyBorder="1" applyFont="1" applyNumberFormat="1"/>
    <xf borderId="23" fillId="4" fontId="6" numFmtId="0" xfId="0" applyBorder="1" applyFont="1"/>
    <xf borderId="24" fillId="4" fontId="6" numFmtId="0" xfId="0" applyBorder="1" applyFont="1"/>
    <xf borderId="25" fillId="4" fontId="6" numFmtId="0" xfId="0" applyAlignment="1" applyBorder="1" applyFont="1">
      <alignment horizontal="center"/>
    </xf>
    <xf borderId="15" fillId="5" fontId="1" numFmtId="0" xfId="0" applyAlignment="1" applyBorder="1" applyFont="1">
      <alignment horizontal="center"/>
    </xf>
    <xf borderId="16" fillId="5" fontId="1" numFmtId="0" xfId="0" applyBorder="1" applyFont="1"/>
    <xf borderId="17" fillId="5" fontId="1" numFmtId="0" xfId="0" applyAlignment="1" applyBorder="1" applyFont="1">
      <alignment horizontal="center"/>
    </xf>
    <xf borderId="26" fillId="2" fontId="1" numFmtId="0" xfId="0" applyAlignment="1" applyBorder="1" applyFont="1">
      <alignment horizontal="center"/>
    </xf>
    <xf borderId="27" fillId="2" fontId="1" numFmtId="0" xfId="0" applyAlignment="1" applyBorder="1" applyFont="1">
      <alignment horizontal="center"/>
    </xf>
    <xf borderId="27" fillId="2" fontId="1" numFmtId="0" xfId="0" applyBorder="1" applyFont="1"/>
    <xf borderId="28" fillId="2" fontId="1" numFmtId="0" xfId="0" applyBorder="1" applyFont="1"/>
    <xf borderId="29" fillId="2" fontId="1" numFmtId="0" xfId="0" applyBorder="1" applyFont="1"/>
    <xf borderId="30" fillId="4" fontId="6" numFmtId="0" xfId="0" applyAlignment="1" applyBorder="1" applyFont="1">
      <alignment horizontal="center"/>
    </xf>
    <xf borderId="30" fillId="4" fontId="6" numFmtId="0" xfId="0" applyBorder="1" applyFont="1"/>
    <xf borderId="15" fillId="6" fontId="1" numFmtId="0" xfId="0" applyAlignment="1" applyBorder="1" applyFont="1">
      <alignment horizontal="center"/>
    </xf>
    <xf borderId="16" fillId="6" fontId="1" numFmtId="0" xfId="0" applyBorder="1" applyFont="1"/>
    <xf borderId="17" fillId="6" fontId="1" numFmtId="0" xfId="0" applyAlignment="1" applyBorder="1" applyFont="1">
      <alignment horizontal="center"/>
    </xf>
    <xf borderId="30" fillId="9" fontId="1" numFmtId="0" xfId="0" applyAlignment="1" applyBorder="1" applyFill="1" applyFont="1">
      <alignment horizontal="center"/>
    </xf>
    <xf borderId="30" fillId="9" fontId="1" numFmtId="0" xfId="0" applyBorder="1" applyFont="1"/>
    <xf borderId="30" fillId="10" fontId="1" numFmtId="0" xfId="0" applyAlignment="1" applyBorder="1" applyFill="1" applyFont="1">
      <alignment horizontal="center"/>
    </xf>
    <xf borderId="30" fillId="10" fontId="1" numFmtId="0" xfId="0" applyBorder="1" applyFont="1"/>
    <xf borderId="30" fillId="11" fontId="1" numFmtId="0" xfId="0" applyAlignment="1" applyBorder="1" applyFill="1" applyFont="1">
      <alignment horizontal="center"/>
    </xf>
    <xf borderId="30" fillId="11" fontId="1" numFmtId="0" xfId="0" applyBorder="1" applyFont="1"/>
    <xf borderId="30" fillId="12" fontId="1" numFmtId="0" xfId="0" applyAlignment="1" applyBorder="1" applyFill="1" applyFont="1">
      <alignment horizontal="center"/>
    </xf>
    <xf borderId="30" fillId="12" fontId="1" numFmtId="0" xfId="0" applyBorder="1" applyFont="1"/>
    <xf borderId="15" fillId="7" fontId="1" numFmtId="0" xfId="0" applyAlignment="1" applyBorder="1" applyFont="1">
      <alignment horizontal="center"/>
    </xf>
    <xf borderId="16" fillId="7" fontId="1" numFmtId="0" xfId="0" applyBorder="1" applyFont="1"/>
    <xf borderId="17" fillId="7" fontId="1" numFmtId="0" xfId="0" applyAlignment="1" applyBorder="1" applyFont="1">
      <alignment horizontal="center"/>
    </xf>
    <xf borderId="31" fillId="3" fontId="6" numFmtId="0" xfId="0" applyBorder="1" applyFont="1"/>
    <xf borderId="31" fillId="3" fontId="6" numFmtId="9" xfId="0" applyBorder="1" applyFont="1" applyNumberFormat="1"/>
    <xf borderId="15" fillId="8" fontId="1" numFmtId="0" xfId="0" applyAlignment="1" applyBorder="1" applyFont="1">
      <alignment horizontal="center"/>
    </xf>
    <xf borderId="16" fillId="8" fontId="1" numFmtId="0" xfId="0" applyBorder="1" applyFont="1"/>
    <xf borderId="17" fillId="8" fontId="1" numFmtId="0" xfId="0" applyAlignment="1" applyBorder="1" applyFont="1">
      <alignment horizontal="center"/>
    </xf>
    <xf borderId="32" fillId="12" fontId="6" numFmtId="0" xfId="0" applyBorder="1" applyFont="1"/>
    <xf borderId="32" fillId="4" fontId="1" numFmtId="0" xfId="0" applyBorder="1" applyFont="1"/>
    <xf borderId="9" fillId="4" fontId="6" numFmtId="0" xfId="0" applyAlignment="1" applyBorder="1" applyFont="1">
      <alignment horizontal="center"/>
    </xf>
    <xf borderId="33" fillId="0" fontId="3" numFmtId="0" xfId="0" applyBorder="1" applyFont="1"/>
    <xf borderId="34" fillId="4" fontId="6" numFmtId="0" xfId="0" applyBorder="1" applyFont="1"/>
    <xf borderId="15" fillId="5" fontId="1" numFmtId="0" xfId="0" applyBorder="1" applyFont="1"/>
    <xf borderId="35" fillId="5" fontId="1" numFmtId="0" xfId="0" applyAlignment="1" applyBorder="1" applyFont="1">
      <alignment horizontal="left"/>
    </xf>
    <xf borderId="36" fillId="0" fontId="3" numFmtId="0" xfId="0" applyBorder="1" applyFont="1"/>
    <xf borderId="35" fillId="5" fontId="1" numFmtId="0" xfId="0" applyAlignment="1" applyBorder="1" applyFont="1">
      <alignment horizontal="center"/>
    </xf>
    <xf borderId="37" fillId="0" fontId="3" numFmtId="0" xfId="0" applyBorder="1" applyFont="1"/>
    <xf borderId="15" fillId="6" fontId="1" numFmtId="0" xfId="0" applyBorder="1" applyFont="1"/>
    <xf borderId="35" fillId="6" fontId="1" numFmtId="0" xfId="0" applyAlignment="1" applyBorder="1" applyFont="1">
      <alignment horizontal="left"/>
    </xf>
    <xf borderId="35" fillId="6" fontId="1" numFmtId="0" xfId="0" applyAlignment="1" applyBorder="1" applyFont="1">
      <alignment horizontal="center"/>
    </xf>
    <xf borderId="26" fillId="8" fontId="1" numFmtId="0" xfId="0" applyAlignment="1" applyBorder="1" applyFont="1">
      <alignment horizontal="center"/>
    </xf>
    <xf borderId="27" fillId="8" fontId="1" numFmtId="0" xfId="0" applyBorder="1" applyFont="1"/>
    <xf borderId="38" fillId="8" fontId="1" numFmtId="0" xfId="0" applyAlignment="1" applyBorder="1" applyFont="1">
      <alignment horizontal="center"/>
    </xf>
    <xf borderId="15" fillId="7" fontId="1" numFmtId="0" xfId="0" applyBorder="1" applyFont="1"/>
    <xf borderId="35" fillId="7" fontId="1" numFmtId="0" xfId="0" applyAlignment="1" applyBorder="1" applyFont="1">
      <alignment horizontal="left"/>
    </xf>
    <xf borderId="35" fillId="7" fontId="1" numFmtId="0" xfId="0" applyAlignment="1" applyBorder="1" applyFont="1">
      <alignment horizontal="center"/>
    </xf>
    <xf borderId="26" fillId="8" fontId="1" numFmtId="0" xfId="0" applyBorder="1" applyFont="1"/>
    <xf borderId="39" fillId="8" fontId="1" numFmtId="0" xfId="0" applyAlignment="1" applyBorder="1" applyFont="1">
      <alignment horizontal="left"/>
    </xf>
    <xf borderId="40" fillId="0" fontId="3" numFmtId="0" xfId="0" applyBorder="1" applyFont="1"/>
    <xf borderId="39" fillId="8" fontId="1" numFmtId="0" xfId="0" applyAlignment="1" applyBorder="1" applyFont="1">
      <alignment horizontal="center"/>
    </xf>
    <xf borderId="41" fillId="0" fontId="3" numFmtId="0" xfId="0" applyBorder="1" applyFont="1"/>
    <xf borderId="42" fillId="13" fontId="7" numFmtId="0" xfId="0" applyAlignment="1" applyBorder="1" applyFill="1" applyFont="1">
      <alignment horizontal="left"/>
    </xf>
    <xf borderId="43" fillId="0" fontId="3" numFmtId="0" xfId="0" applyBorder="1" applyFont="1"/>
    <xf borderId="32" fillId="13" fontId="8" numFmtId="0" xfId="0" applyBorder="1" applyFont="1"/>
    <xf borderId="44" fillId="0" fontId="6" numFmtId="0" xfId="0" applyAlignment="1" applyBorder="1" applyFont="1">
      <alignment horizontal="left"/>
    </xf>
    <xf borderId="45" fillId="0" fontId="6" numFmtId="0" xfId="0" applyAlignment="1" applyBorder="1" applyFont="1">
      <alignment horizontal="center"/>
    </xf>
    <xf borderId="46" fillId="0" fontId="6" numFmtId="0" xfId="0" applyAlignment="1" applyBorder="1" applyFont="1">
      <alignment horizontal="center"/>
    </xf>
    <xf borderId="44" fillId="0" fontId="6" numFmtId="0" xfId="0" applyAlignment="1" applyBorder="1" applyFont="1">
      <alignment horizontal="center"/>
    </xf>
    <xf borderId="7" fillId="9" fontId="9" numFmtId="0" xfId="0" applyAlignment="1" applyBorder="1" applyFont="1">
      <alignment horizontal="center"/>
    </xf>
    <xf borderId="8" fillId="9" fontId="9" numFmtId="0" xfId="0" applyAlignment="1" applyBorder="1" applyFont="1">
      <alignment horizontal="left"/>
    </xf>
    <xf borderId="34" fillId="9" fontId="9" numFmtId="0" xfId="0" applyAlignment="1" applyBorder="1" applyFont="1">
      <alignment horizontal="center"/>
    </xf>
    <xf borderId="47" fillId="9" fontId="9" numFmtId="0" xfId="0" applyAlignment="1" applyBorder="1" applyFont="1">
      <alignment horizontal="center"/>
    </xf>
    <xf borderId="48" fillId="9" fontId="9" numFmtId="0" xfId="0" applyAlignment="1" applyBorder="1" applyFont="1">
      <alignment horizontal="center"/>
    </xf>
    <xf borderId="49" fillId="9" fontId="9" numFmtId="0" xfId="0" applyAlignment="1" applyBorder="1" applyFont="1">
      <alignment horizontal="center" vertical="center"/>
    </xf>
    <xf borderId="50" fillId="9" fontId="9" numFmtId="0" xfId="0" applyAlignment="1" applyBorder="1" applyFont="1">
      <alignment horizontal="center" vertical="center"/>
    </xf>
    <xf borderId="15" fillId="9" fontId="9" numFmtId="0" xfId="0" applyAlignment="1" applyBorder="1" applyFont="1">
      <alignment horizontal="center"/>
    </xf>
    <xf borderId="16" fillId="9" fontId="9" numFmtId="0" xfId="0" applyAlignment="1" applyBorder="1" applyFont="1">
      <alignment horizontal="left"/>
    </xf>
    <xf borderId="17" fillId="9" fontId="9" numFmtId="0" xfId="0" applyAlignment="1" applyBorder="1" applyFont="1">
      <alignment horizontal="center"/>
    </xf>
    <xf borderId="16" fillId="9" fontId="9" numFmtId="0" xfId="0" applyAlignment="1" applyBorder="1" applyFont="1">
      <alignment horizontal="center"/>
    </xf>
    <xf borderId="51" fillId="0" fontId="3" numFmtId="0" xfId="0" applyBorder="1" applyFont="1"/>
    <xf borderId="52" fillId="0" fontId="3" numFmtId="0" xfId="0" applyBorder="1" applyFont="1"/>
    <xf borderId="53" fillId="9" fontId="9" numFmtId="0" xfId="0" applyAlignment="1" applyBorder="1" applyFont="1">
      <alignment horizontal="center" vertical="center"/>
    </xf>
    <xf borderId="26" fillId="9" fontId="9" numFmtId="0" xfId="0" applyAlignment="1" applyBorder="1" applyFont="1">
      <alignment horizontal="center"/>
    </xf>
    <xf borderId="27" fillId="9" fontId="9" numFmtId="0" xfId="0" applyAlignment="1" applyBorder="1" applyFont="1">
      <alignment horizontal="left"/>
    </xf>
    <xf borderId="38" fillId="9" fontId="9" numFmtId="0" xfId="0" applyAlignment="1" applyBorder="1" applyFont="1">
      <alignment horizontal="center"/>
    </xf>
    <xf borderId="27" fillId="9" fontId="9" numFmtId="0" xfId="0" applyAlignment="1" applyBorder="1" applyFont="1">
      <alignment horizontal="center"/>
    </xf>
    <xf borderId="54" fillId="0" fontId="3" numFmtId="0" xfId="0" applyBorder="1" applyFont="1"/>
    <xf borderId="55" fillId="0" fontId="3" numFmtId="0" xfId="0" applyBorder="1" applyFont="1"/>
    <xf borderId="7" fillId="10" fontId="1" numFmtId="0" xfId="0" applyAlignment="1" applyBorder="1" applyFont="1">
      <alignment horizontal="center"/>
    </xf>
    <xf borderId="8" fillId="10" fontId="1" numFmtId="0" xfId="0" applyAlignment="1" applyBorder="1" applyFont="1">
      <alignment horizontal="left"/>
    </xf>
    <xf borderId="34" fillId="10" fontId="1" numFmtId="0" xfId="0" applyAlignment="1" applyBorder="1" applyFont="1">
      <alignment horizontal="center"/>
    </xf>
    <xf borderId="8" fillId="10" fontId="1" numFmtId="0" xfId="0" applyAlignment="1" applyBorder="1" applyFont="1">
      <alignment horizontal="center"/>
    </xf>
    <xf borderId="56" fillId="10" fontId="1" numFmtId="0" xfId="0" applyAlignment="1" applyBorder="1" applyFont="1">
      <alignment horizontal="center" vertical="center"/>
    </xf>
    <xf borderId="57" fillId="10" fontId="1" numFmtId="0" xfId="0" applyAlignment="1" applyBorder="1" applyFont="1">
      <alignment horizontal="center" vertical="center"/>
    </xf>
    <xf borderId="15" fillId="10" fontId="1" numFmtId="0" xfId="0" applyAlignment="1" applyBorder="1" applyFont="1">
      <alignment horizontal="center"/>
    </xf>
    <xf borderId="16" fillId="10" fontId="1" numFmtId="0" xfId="0" applyAlignment="1" applyBorder="1" applyFont="1">
      <alignment horizontal="left"/>
    </xf>
    <xf borderId="17" fillId="10" fontId="1" numFmtId="0" xfId="0" applyAlignment="1" applyBorder="1" applyFont="1">
      <alignment horizontal="center"/>
    </xf>
    <xf borderId="16" fillId="10" fontId="1" numFmtId="0" xfId="0" applyAlignment="1" applyBorder="1" applyFont="1">
      <alignment horizontal="center"/>
    </xf>
    <xf borderId="53" fillId="10" fontId="1" numFmtId="0" xfId="0" applyAlignment="1" applyBorder="1" applyFont="1">
      <alignment horizontal="center" vertical="center"/>
    </xf>
    <xf borderId="26" fillId="10" fontId="1" numFmtId="0" xfId="0" applyAlignment="1" applyBorder="1" applyFont="1">
      <alignment horizontal="center"/>
    </xf>
    <xf borderId="27" fillId="10" fontId="1" numFmtId="0" xfId="0" applyAlignment="1" applyBorder="1" applyFont="1">
      <alignment horizontal="left"/>
    </xf>
    <xf borderId="38" fillId="10" fontId="1" numFmtId="0" xfId="0" applyAlignment="1" applyBorder="1" applyFont="1">
      <alignment horizontal="center"/>
    </xf>
    <xf borderId="27" fillId="10" fontId="1" numFmtId="0" xfId="0" applyAlignment="1" applyBorder="1" applyFont="1">
      <alignment horizontal="center"/>
    </xf>
    <xf borderId="7" fillId="11" fontId="9" numFmtId="0" xfId="0" applyAlignment="1" applyBorder="1" applyFont="1">
      <alignment horizontal="center"/>
    </xf>
    <xf borderId="8" fillId="11" fontId="9" numFmtId="0" xfId="0" applyAlignment="1" applyBorder="1" applyFont="1">
      <alignment horizontal="left"/>
    </xf>
    <xf borderId="34" fillId="11" fontId="9" numFmtId="0" xfId="0" applyAlignment="1" applyBorder="1" applyFont="1">
      <alignment horizontal="center"/>
    </xf>
    <xf borderId="8" fillId="11" fontId="9" numFmtId="0" xfId="0" applyAlignment="1" applyBorder="1" applyFont="1">
      <alignment horizontal="center"/>
    </xf>
    <xf borderId="56" fillId="11" fontId="9" numFmtId="0" xfId="0" applyAlignment="1" applyBorder="1" applyFont="1">
      <alignment horizontal="center" vertical="center"/>
    </xf>
    <xf borderId="57" fillId="11" fontId="9" numFmtId="0" xfId="0" applyAlignment="1" applyBorder="1" applyFont="1">
      <alignment horizontal="center" vertical="center"/>
    </xf>
    <xf borderId="15" fillId="11" fontId="9" numFmtId="0" xfId="0" applyAlignment="1" applyBorder="1" applyFont="1">
      <alignment horizontal="center"/>
    </xf>
    <xf borderId="16" fillId="11" fontId="9" numFmtId="0" xfId="0" applyAlignment="1" applyBorder="1" applyFont="1">
      <alignment horizontal="left"/>
    </xf>
    <xf borderId="17" fillId="11" fontId="9" numFmtId="0" xfId="0" applyAlignment="1" applyBorder="1" applyFont="1">
      <alignment horizontal="center"/>
    </xf>
    <xf borderId="16" fillId="11" fontId="9" numFmtId="0" xfId="0" applyAlignment="1" applyBorder="1" applyFont="1">
      <alignment horizontal="center"/>
    </xf>
    <xf borderId="53" fillId="11" fontId="9" numFmtId="0" xfId="0" applyAlignment="1" applyBorder="1" applyFont="1">
      <alignment horizontal="center" vertical="center"/>
    </xf>
    <xf borderId="26" fillId="11" fontId="9" numFmtId="0" xfId="0" applyAlignment="1" applyBorder="1" applyFont="1">
      <alignment horizontal="center"/>
    </xf>
    <xf borderId="27" fillId="11" fontId="9" numFmtId="0" xfId="0" applyAlignment="1" applyBorder="1" applyFont="1">
      <alignment horizontal="left"/>
    </xf>
    <xf borderId="38" fillId="11" fontId="9" numFmtId="0" xfId="0" applyAlignment="1" applyBorder="1" applyFont="1">
      <alignment horizontal="center"/>
    </xf>
    <xf borderId="27" fillId="11" fontId="9" numFmtId="0" xfId="0" applyAlignment="1" applyBorder="1" applyFont="1">
      <alignment horizontal="center"/>
    </xf>
    <xf borderId="7" fillId="12" fontId="9" numFmtId="0" xfId="0" applyAlignment="1" applyBorder="1" applyFont="1">
      <alignment horizontal="center"/>
    </xf>
    <xf borderId="8" fillId="12" fontId="9" numFmtId="0" xfId="0" applyAlignment="1" applyBorder="1" applyFont="1">
      <alignment horizontal="left"/>
    </xf>
    <xf borderId="34" fillId="12" fontId="9" numFmtId="0" xfId="0" applyAlignment="1" applyBorder="1" applyFont="1">
      <alignment horizontal="center"/>
    </xf>
    <xf borderId="8" fillId="12" fontId="9" numFmtId="0" xfId="0" applyAlignment="1" applyBorder="1" applyFont="1">
      <alignment horizontal="center"/>
    </xf>
    <xf borderId="56" fillId="12" fontId="9" numFmtId="0" xfId="0" applyAlignment="1" applyBorder="1" applyFont="1">
      <alignment horizontal="center" vertical="center"/>
    </xf>
    <xf borderId="57" fillId="12" fontId="9" numFmtId="0" xfId="0" applyAlignment="1" applyBorder="1" applyFont="1">
      <alignment horizontal="center" vertical="center"/>
    </xf>
    <xf borderId="15" fillId="12" fontId="9" numFmtId="0" xfId="0" applyAlignment="1" applyBorder="1" applyFont="1">
      <alignment horizontal="center"/>
    </xf>
    <xf borderId="16" fillId="12" fontId="9" numFmtId="0" xfId="0" applyAlignment="1" applyBorder="1" applyFont="1">
      <alignment horizontal="left"/>
    </xf>
    <xf borderId="17" fillId="12" fontId="9" numFmtId="0" xfId="0" applyAlignment="1" applyBorder="1" applyFont="1">
      <alignment horizontal="center"/>
    </xf>
    <xf borderId="16" fillId="12" fontId="9" numFmtId="0" xfId="0" applyAlignment="1" applyBorder="1" applyFont="1">
      <alignment horizontal="center"/>
    </xf>
    <xf borderId="53" fillId="12" fontId="9" numFmtId="0" xfId="0" applyAlignment="1" applyBorder="1" applyFont="1">
      <alignment horizontal="center" vertical="center"/>
    </xf>
    <xf borderId="26" fillId="12" fontId="9" numFmtId="0" xfId="0" applyAlignment="1" applyBorder="1" applyFont="1">
      <alignment horizontal="center"/>
    </xf>
    <xf borderId="27" fillId="12" fontId="9" numFmtId="0" xfId="0" applyAlignment="1" applyBorder="1" applyFont="1">
      <alignment horizontal="left"/>
    </xf>
    <xf borderId="38" fillId="12" fontId="9" numFmtId="0" xfId="0" applyAlignment="1" applyBorder="1" applyFont="1">
      <alignment horizontal="center"/>
    </xf>
    <xf borderId="27" fillId="12" fontId="9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right"/>
    </xf>
    <xf borderId="0" fillId="0" fontId="10" numFmtId="0" xfId="0" applyAlignment="1" applyFont="1">
      <alignment horizontal="left"/>
    </xf>
    <xf borderId="58" fillId="0" fontId="11" numFmtId="0" xfId="0" applyAlignment="1" applyBorder="1" applyFont="1">
      <alignment horizontal="left"/>
    </xf>
    <xf borderId="58" fillId="0" fontId="3" numFmtId="0" xfId="0" applyBorder="1" applyFont="1"/>
    <xf borderId="58" fillId="0" fontId="9" numFmtId="0" xfId="0" applyBorder="1" applyFont="1"/>
    <xf borderId="59" fillId="0" fontId="1" numFmtId="0" xfId="0" applyBorder="1" applyFont="1"/>
    <xf borderId="60" fillId="0" fontId="11" numFmtId="0" xfId="0" applyBorder="1" applyFont="1"/>
    <xf borderId="61" fillId="0" fontId="11" numFmtId="0" xfId="0" applyAlignment="1" applyBorder="1" applyFont="1">
      <alignment horizontal="left"/>
    </xf>
    <xf borderId="61" fillId="0" fontId="3" numFmtId="0" xfId="0" applyBorder="1" applyFont="1"/>
    <xf borderId="61" fillId="0" fontId="1" numFmtId="0" xfId="0" applyBorder="1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odingbuton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8.43"/>
    <col customWidth="1" min="3" max="3" width="21.57"/>
    <col customWidth="1" min="4" max="4" width="24.86"/>
    <col customWidth="1" min="5" max="5" width="20.57"/>
    <col customWidth="1" min="6" max="6" width="10.86"/>
    <col customWidth="1" min="7" max="7" width="2.86"/>
    <col customWidth="1" min="8" max="8" width="27.43"/>
    <col customWidth="1" min="9" max="9" width="26.14"/>
    <col customWidth="1" min="10" max="10" width="8.14"/>
    <col customWidth="1" min="11" max="11" width="9.57"/>
    <col customWidth="1" min="12" max="12" width="16.14"/>
    <col customWidth="1" min="13" max="13" width="8.86"/>
    <col customWidth="1" min="14" max="14" width="10.43"/>
    <col customWidth="1" min="15" max="15" width="25.86"/>
    <col customWidth="1" min="16" max="26" width="8.71"/>
  </cols>
  <sheetData>
    <row r="1" ht="16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3</v>
      </c>
      <c r="C5" s="8" t="s">
        <v>4</v>
      </c>
      <c r="D5" s="8" t="s">
        <v>5</v>
      </c>
      <c r="E5" s="9"/>
      <c r="F5" s="1"/>
      <c r="G5" s="1"/>
      <c r="H5" s="10" t="s">
        <v>6</v>
      </c>
      <c r="I5" s="11" t="s">
        <v>7</v>
      </c>
      <c r="J5" s="12" t="s">
        <v>8</v>
      </c>
      <c r="K5" s="13"/>
      <c r="L5" s="13"/>
      <c r="M5" s="13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5">
        <v>1.0</v>
      </c>
      <c r="C6" s="16" t="s">
        <v>9</v>
      </c>
      <c r="D6" s="16" t="s">
        <v>10</v>
      </c>
      <c r="E6" s="17"/>
      <c r="F6" s="1"/>
      <c r="G6" s="1"/>
      <c r="H6" s="18">
        <v>0.0</v>
      </c>
      <c r="I6" s="19">
        <v>5.0</v>
      </c>
      <c r="J6" s="20" t="s">
        <v>11</v>
      </c>
      <c r="K6" s="20"/>
      <c r="L6" s="20"/>
      <c r="M6" s="20"/>
      <c r="N6" s="2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2">
        <v>2.0</v>
      </c>
      <c r="C7" s="23" t="s">
        <v>12</v>
      </c>
      <c r="D7" s="23" t="s">
        <v>10</v>
      </c>
      <c r="E7" s="24"/>
      <c r="F7" s="1"/>
      <c r="G7" s="1"/>
      <c r="H7" s="18">
        <v>1.0</v>
      </c>
      <c r="I7" s="19">
        <v>4.5</v>
      </c>
      <c r="J7" s="20" t="s">
        <v>13</v>
      </c>
      <c r="K7" s="20"/>
      <c r="L7" s="20"/>
      <c r="M7" s="25"/>
      <c r="N7" s="2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27">
        <v>3.0</v>
      </c>
      <c r="C8" s="28" t="s">
        <v>14</v>
      </c>
      <c r="D8" s="28" t="s">
        <v>15</v>
      </c>
      <c r="E8" s="29"/>
      <c r="F8" s="1"/>
      <c r="G8" s="1"/>
      <c r="H8" s="18">
        <v>-1.0</v>
      </c>
      <c r="I8" s="19">
        <v>4.0</v>
      </c>
      <c r="J8" s="20" t="s">
        <v>16</v>
      </c>
      <c r="K8" s="20"/>
      <c r="L8" s="20"/>
      <c r="M8" s="25"/>
      <c r="N8" s="2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30">
        <v>4.0</v>
      </c>
      <c r="C9" s="31" t="s">
        <v>17</v>
      </c>
      <c r="D9" s="31" t="s">
        <v>15</v>
      </c>
      <c r="E9" s="32"/>
      <c r="F9" s="1"/>
      <c r="G9" s="1"/>
      <c r="H9" s="18">
        <v>2.0</v>
      </c>
      <c r="I9" s="19">
        <v>3.5</v>
      </c>
      <c r="J9" s="20" t="s">
        <v>18</v>
      </c>
      <c r="K9" s="20"/>
      <c r="L9" s="20"/>
      <c r="M9" s="25"/>
      <c r="N9" s="2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8">
        <v>-2.0</v>
      </c>
      <c r="I10" s="19">
        <v>3.0</v>
      </c>
      <c r="J10" s="20" t="s">
        <v>19</v>
      </c>
      <c r="K10" s="20"/>
      <c r="L10" s="20"/>
      <c r="M10" s="25"/>
      <c r="N10" s="2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8">
        <v>3.0</v>
      </c>
      <c r="I11" s="19">
        <v>2.5</v>
      </c>
      <c r="J11" s="20" t="s">
        <v>20</v>
      </c>
      <c r="K11" s="20"/>
      <c r="L11" s="20"/>
      <c r="M11" s="25"/>
      <c r="N11" s="2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33" t="s">
        <v>21</v>
      </c>
      <c r="C12" s="34" t="s">
        <v>22</v>
      </c>
      <c r="D12" s="34" t="s">
        <v>23</v>
      </c>
      <c r="E12" s="35" t="s">
        <v>24</v>
      </c>
      <c r="F12" s="1"/>
      <c r="G12" s="1"/>
      <c r="H12" s="18">
        <v>-3.0</v>
      </c>
      <c r="I12" s="19">
        <v>2.0</v>
      </c>
      <c r="J12" s="20" t="s">
        <v>25</v>
      </c>
      <c r="K12" s="20"/>
      <c r="L12" s="20"/>
      <c r="M12" s="25"/>
      <c r="N12" s="2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36">
        <v>1.0</v>
      </c>
      <c r="C13" s="37" t="s">
        <v>26</v>
      </c>
      <c r="D13" s="37" t="s">
        <v>27</v>
      </c>
      <c r="E13" s="38">
        <v>1.0</v>
      </c>
      <c r="F13" s="1"/>
      <c r="G13" s="1"/>
      <c r="H13" s="18">
        <v>4.0</v>
      </c>
      <c r="I13" s="19">
        <v>1.5</v>
      </c>
      <c r="J13" s="20" t="s">
        <v>28</v>
      </c>
      <c r="K13" s="20"/>
      <c r="L13" s="20"/>
      <c r="M13" s="25"/>
      <c r="N13" s="2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36">
        <v>2.0</v>
      </c>
      <c r="C14" s="37" t="s">
        <v>26</v>
      </c>
      <c r="D14" s="37" t="s">
        <v>29</v>
      </c>
      <c r="E14" s="38">
        <v>2.0</v>
      </c>
      <c r="F14" s="1"/>
      <c r="G14" s="1"/>
      <c r="H14" s="39">
        <v>-4.0</v>
      </c>
      <c r="I14" s="40">
        <v>1.0</v>
      </c>
      <c r="J14" s="41" t="s">
        <v>30</v>
      </c>
      <c r="K14" s="41"/>
      <c r="L14" s="41"/>
      <c r="M14" s="42"/>
      <c r="N14" s="4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36">
        <v>3.0</v>
      </c>
      <c r="C15" s="37" t="s">
        <v>26</v>
      </c>
      <c r="D15" s="37" t="s">
        <v>31</v>
      </c>
      <c r="E15" s="38">
        <v>3.0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36">
        <v>4.0</v>
      </c>
      <c r="C16" s="37" t="s">
        <v>26</v>
      </c>
      <c r="D16" s="37" t="s">
        <v>32</v>
      </c>
      <c r="E16" s="38">
        <v>4.0</v>
      </c>
      <c r="F16" s="1"/>
      <c r="G16" s="1"/>
      <c r="H16" s="44" t="s">
        <v>33</v>
      </c>
      <c r="I16" s="45" t="s">
        <v>34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46">
        <v>5.0</v>
      </c>
      <c r="C17" s="47" t="s">
        <v>35</v>
      </c>
      <c r="D17" s="47" t="s">
        <v>36</v>
      </c>
      <c r="E17" s="48">
        <v>1.0</v>
      </c>
      <c r="F17" s="1"/>
      <c r="G17" s="1"/>
      <c r="H17" s="49">
        <v>1.0</v>
      </c>
      <c r="I17" s="50" t="s">
        <v>37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46">
        <v>6.0</v>
      </c>
      <c r="C18" s="47" t="s">
        <v>35</v>
      </c>
      <c r="D18" s="47" t="s">
        <v>38</v>
      </c>
      <c r="E18" s="48">
        <v>2.0</v>
      </c>
      <c r="F18" s="1"/>
      <c r="G18" s="1"/>
      <c r="H18" s="51">
        <v>2.0</v>
      </c>
      <c r="I18" s="52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46">
        <v>7.0</v>
      </c>
      <c r="C19" s="47" t="s">
        <v>35</v>
      </c>
      <c r="D19" s="47" t="s">
        <v>40</v>
      </c>
      <c r="E19" s="48">
        <v>3.0</v>
      </c>
      <c r="F19" s="1"/>
      <c r="G19" s="1"/>
      <c r="H19" s="53">
        <v>3.0</v>
      </c>
      <c r="I19" s="54" t="s">
        <v>41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46">
        <v>8.0</v>
      </c>
      <c r="C20" s="47" t="s">
        <v>35</v>
      </c>
      <c r="D20" s="47" t="s">
        <v>42</v>
      </c>
      <c r="E20" s="48">
        <v>4.0</v>
      </c>
      <c r="F20" s="1"/>
      <c r="G20" s="1"/>
      <c r="H20" s="55">
        <v>4.0</v>
      </c>
      <c r="I20" s="56" t="s">
        <v>43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57">
        <v>9.0</v>
      </c>
      <c r="C21" s="58" t="s">
        <v>44</v>
      </c>
      <c r="D21" s="58" t="s">
        <v>45</v>
      </c>
      <c r="E21" s="59">
        <v>1.0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57">
        <v>10.0</v>
      </c>
      <c r="C22" s="58" t="s">
        <v>44</v>
      </c>
      <c r="D22" s="58" t="s">
        <v>46</v>
      </c>
      <c r="E22" s="59">
        <v>2.0</v>
      </c>
      <c r="F22" s="1"/>
      <c r="G22" s="1"/>
      <c r="H22" s="60" t="s">
        <v>10</v>
      </c>
      <c r="I22" s="61">
        <v>0.6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57">
        <v>11.0</v>
      </c>
      <c r="C23" s="58" t="s">
        <v>44</v>
      </c>
      <c r="D23" s="58" t="s">
        <v>47</v>
      </c>
      <c r="E23" s="59">
        <v>3.0</v>
      </c>
      <c r="F23" s="1"/>
      <c r="G23" s="1"/>
      <c r="H23" s="60" t="s">
        <v>15</v>
      </c>
      <c r="I23" s="61">
        <v>0.4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57">
        <v>12.0</v>
      </c>
      <c r="C24" s="58" t="s">
        <v>44</v>
      </c>
      <c r="D24" s="58" t="s">
        <v>48</v>
      </c>
      <c r="E24" s="59">
        <v>4.0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62">
        <v>13.0</v>
      </c>
      <c r="C25" s="63" t="s">
        <v>49</v>
      </c>
      <c r="D25" s="63" t="s">
        <v>50</v>
      </c>
      <c r="E25" s="64">
        <v>0.0</v>
      </c>
      <c r="F25" s="1"/>
      <c r="G25" s="1"/>
      <c r="H25" s="65" t="s">
        <v>51</v>
      </c>
      <c r="I25" s="65"/>
      <c r="J25" s="66"/>
      <c r="K25" s="66"/>
      <c r="L25" s="6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62">
        <v>14.0</v>
      </c>
      <c r="C26" s="63" t="s">
        <v>49</v>
      </c>
      <c r="D26" s="63" t="s">
        <v>52</v>
      </c>
      <c r="E26" s="64">
        <v>1.0</v>
      </c>
      <c r="F26" s="1"/>
      <c r="G26" s="1"/>
      <c r="H26" s="10" t="s">
        <v>22</v>
      </c>
      <c r="I26" s="67" t="s">
        <v>53</v>
      </c>
      <c r="J26" s="68"/>
      <c r="K26" s="11" t="s">
        <v>54</v>
      </c>
      <c r="L26" s="6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62">
        <v>15.0</v>
      </c>
      <c r="C27" s="63" t="s">
        <v>49</v>
      </c>
      <c r="D27" s="63" t="s">
        <v>55</v>
      </c>
      <c r="E27" s="64">
        <v>2.0</v>
      </c>
      <c r="F27" s="1"/>
      <c r="G27" s="1"/>
      <c r="H27" s="70" t="s">
        <v>56</v>
      </c>
      <c r="I27" s="71" t="s">
        <v>57</v>
      </c>
      <c r="J27" s="72"/>
      <c r="K27" s="73">
        <v>3.0</v>
      </c>
      <c r="L27" s="7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62">
        <v>16.0</v>
      </c>
      <c r="C28" s="63" t="s">
        <v>49</v>
      </c>
      <c r="D28" s="63" t="s">
        <v>58</v>
      </c>
      <c r="E28" s="64">
        <v>3.0</v>
      </c>
      <c r="F28" s="1"/>
      <c r="G28" s="1"/>
      <c r="H28" s="75" t="s">
        <v>35</v>
      </c>
      <c r="I28" s="76" t="s">
        <v>59</v>
      </c>
      <c r="J28" s="72"/>
      <c r="K28" s="77">
        <v>3.0</v>
      </c>
      <c r="L28" s="7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8">
        <v>17.0</v>
      </c>
      <c r="C29" s="79" t="s">
        <v>49</v>
      </c>
      <c r="D29" s="79" t="s">
        <v>60</v>
      </c>
      <c r="E29" s="80">
        <v>4.0</v>
      </c>
      <c r="F29" s="1"/>
      <c r="G29" s="1"/>
      <c r="H29" s="81" t="s">
        <v>44</v>
      </c>
      <c r="I29" s="82" t="s">
        <v>61</v>
      </c>
      <c r="J29" s="72"/>
      <c r="K29" s="83">
        <v>3.0</v>
      </c>
      <c r="L29" s="7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84" t="s">
        <v>49</v>
      </c>
      <c r="I30" s="85" t="s">
        <v>62</v>
      </c>
      <c r="J30" s="86"/>
      <c r="K30" s="87">
        <v>2.0</v>
      </c>
      <c r="L30" s="8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89" t="s">
        <v>63</v>
      </c>
      <c r="C32" s="90"/>
      <c r="D32" s="1"/>
      <c r="E32" s="1"/>
      <c r="F32" s="1"/>
      <c r="G32" s="1"/>
      <c r="H32" s="91" t="s">
        <v>64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92" t="s">
        <v>65</v>
      </c>
      <c r="C33" s="93" t="s">
        <v>66</v>
      </c>
      <c r="D33" s="93" t="s">
        <v>22</v>
      </c>
      <c r="E33" s="93" t="s">
        <v>67</v>
      </c>
      <c r="F33" s="94" t="s">
        <v>68</v>
      </c>
      <c r="G33" s="1"/>
      <c r="H33" s="95" t="s">
        <v>63</v>
      </c>
      <c r="I33" s="93" t="s">
        <v>69</v>
      </c>
      <c r="J33" s="93" t="s">
        <v>70</v>
      </c>
      <c r="K33" s="93" t="s">
        <v>71</v>
      </c>
      <c r="L33" s="93" t="s">
        <v>5</v>
      </c>
      <c r="M33" s="93" t="s">
        <v>72</v>
      </c>
      <c r="N33" s="94" t="s">
        <v>73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96">
        <v>1.0</v>
      </c>
      <c r="C34" s="97" t="s">
        <v>74</v>
      </c>
      <c r="D34" s="97" t="s">
        <v>26</v>
      </c>
      <c r="E34" s="97" t="s">
        <v>57</v>
      </c>
      <c r="F34" s="98">
        <v>3.0</v>
      </c>
      <c r="G34" s="1"/>
      <c r="H34" s="99">
        <f t="shared" ref="H34:H49" si="1">F34</f>
        <v>3</v>
      </c>
      <c r="I34" s="100">
        <v>3.0</v>
      </c>
      <c r="J34" s="100">
        <f t="shared" ref="J34:J49" si="2">H34-I34</f>
        <v>0</v>
      </c>
      <c r="K34" s="100">
        <f t="shared" ref="K34:K49" si="3">VLOOKUP(J34,$H$6:$I$14,2,false)</f>
        <v>5</v>
      </c>
      <c r="L34" s="101" t="s">
        <v>75</v>
      </c>
      <c r="M34" s="101">
        <f>AVERAGE(K34:K35)</f>
        <v>4.75</v>
      </c>
      <c r="N34" s="102">
        <f>(0.6 * M34) + (0.4 * M36)</f>
        <v>4.75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03">
        <v>2.0</v>
      </c>
      <c r="C35" s="104" t="s">
        <v>74</v>
      </c>
      <c r="D35" s="104" t="s">
        <v>35</v>
      </c>
      <c r="E35" s="104" t="s">
        <v>76</v>
      </c>
      <c r="F35" s="105">
        <v>4.0</v>
      </c>
      <c r="G35" s="1"/>
      <c r="H35" s="103">
        <f t="shared" si="1"/>
        <v>4</v>
      </c>
      <c r="I35" s="106">
        <v>3.0</v>
      </c>
      <c r="J35" s="106">
        <f t="shared" si="2"/>
        <v>1</v>
      </c>
      <c r="K35" s="106">
        <f t="shared" si="3"/>
        <v>4.5</v>
      </c>
      <c r="L35" s="107"/>
      <c r="M35" s="107"/>
      <c r="N35" s="10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03">
        <v>3.0</v>
      </c>
      <c r="C36" s="104" t="s">
        <v>74</v>
      </c>
      <c r="D36" s="104" t="s">
        <v>44</v>
      </c>
      <c r="E36" s="104" t="s">
        <v>61</v>
      </c>
      <c r="F36" s="105">
        <v>4.0</v>
      </c>
      <c r="G36" s="1"/>
      <c r="H36" s="103">
        <f t="shared" si="1"/>
        <v>4</v>
      </c>
      <c r="I36" s="106">
        <v>3.0</v>
      </c>
      <c r="J36" s="106">
        <f t="shared" si="2"/>
        <v>1</v>
      </c>
      <c r="K36" s="106">
        <f t="shared" si="3"/>
        <v>4.5</v>
      </c>
      <c r="L36" s="109" t="s">
        <v>77</v>
      </c>
      <c r="M36" s="109">
        <f>AVERAGE(K36:K37)</f>
        <v>4.75</v>
      </c>
      <c r="N36" s="10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10">
        <v>4.0</v>
      </c>
      <c r="C37" s="111" t="s">
        <v>74</v>
      </c>
      <c r="D37" s="111" t="s">
        <v>49</v>
      </c>
      <c r="E37" s="111" t="s">
        <v>62</v>
      </c>
      <c r="F37" s="112">
        <v>2.0</v>
      </c>
      <c r="G37" s="1"/>
      <c r="H37" s="110">
        <f t="shared" si="1"/>
        <v>2</v>
      </c>
      <c r="I37" s="113">
        <v>2.0</v>
      </c>
      <c r="J37" s="113">
        <f t="shared" si="2"/>
        <v>0</v>
      </c>
      <c r="K37" s="113">
        <f t="shared" si="3"/>
        <v>5</v>
      </c>
      <c r="L37" s="114"/>
      <c r="M37" s="114"/>
      <c r="N37" s="1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16">
        <v>5.0</v>
      </c>
      <c r="C38" s="117" t="s">
        <v>78</v>
      </c>
      <c r="D38" s="117" t="s">
        <v>26</v>
      </c>
      <c r="E38" s="117" t="s">
        <v>79</v>
      </c>
      <c r="F38" s="118">
        <v>4.0</v>
      </c>
      <c r="G38" s="1"/>
      <c r="H38" s="116">
        <f t="shared" si="1"/>
        <v>4</v>
      </c>
      <c r="I38" s="119">
        <v>3.0</v>
      </c>
      <c r="J38" s="119">
        <f t="shared" si="2"/>
        <v>1</v>
      </c>
      <c r="K38" s="119">
        <f t="shared" si="3"/>
        <v>4.5</v>
      </c>
      <c r="L38" s="120" t="s">
        <v>75</v>
      </c>
      <c r="M38" s="120">
        <f>AVERAGE(K38:K39)</f>
        <v>4.75</v>
      </c>
      <c r="N38" s="121">
        <f>(0.6 * M38) + (0.4 * M40)</f>
        <v>4.85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22">
        <v>6.0</v>
      </c>
      <c r="C39" s="123" t="s">
        <v>78</v>
      </c>
      <c r="D39" s="123" t="s">
        <v>35</v>
      </c>
      <c r="E39" s="123" t="s">
        <v>59</v>
      </c>
      <c r="F39" s="124">
        <v>3.0</v>
      </c>
      <c r="G39" s="1"/>
      <c r="H39" s="122">
        <f t="shared" si="1"/>
        <v>3</v>
      </c>
      <c r="I39" s="125">
        <v>3.0</v>
      </c>
      <c r="J39" s="125">
        <f t="shared" si="2"/>
        <v>0</v>
      </c>
      <c r="K39" s="125">
        <f t="shared" si="3"/>
        <v>5</v>
      </c>
      <c r="L39" s="107"/>
      <c r="M39" s="107"/>
      <c r="N39" s="10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22">
        <v>7.0</v>
      </c>
      <c r="C40" s="123" t="s">
        <v>78</v>
      </c>
      <c r="D40" s="123" t="s">
        <v>44</v>
      </c>
      <c r="E40" s="123" t="s">
        <v>80</v>
      </c>
      <c r="F40" s="124">
        <v>3.0</v>
      </c>
      <c r="G40" s="1"/>
      <c r="H40" s="122">
        <f t="shared" si="1"/>
        <v>3</v>
      </c>
      <c r="I40" s="125">
        <v>3.0</v>
      </c>
      <c r="J40" s="125">
        <f t="shared" si="2"/>
        <v>0</v>
      </c>
      <c r="K40" s="125">
        <f t="shared" si="3"/>
        <v>5</v>
      </c>
      <c r="L40" s="126" t="s">
        <v>77</v>
      </c>
      <c r="M40" s="126">
        <f>AVERAGE(K40:K41)</f>
        <v>5</v>
      </c>
      <c r="N40" s="10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27">
        <v>8.0</v>
      </c>
      <c r="C41" s="128" t="s">
        <v>78</v>
      </c>
      <c r="D41" s="128" t="s">
        <v>49</v>
      </c>
      <c r="E41" s="128" t="s">
        <v>62</v>
      </c>
      <c r="F41" s="129">
        <v>2.0</v>
      </c>
      <c r="G41" s="1"/>
      <c r="H41" s="127">
        <f t="shared" si="1"/>
        <v>2</v>
      </c>
      <c r="I41" s="130">
        <v>2.0</v>
      </c>
      <c r="J41" s="130">
        <f t="shared" si="2"/>
        <v>0</v>
      </c>
      <c r="K41" s="130">
        <f t="shared" si="3"/>
        <v>5</v>
      </c>
      <c r="L41" s="114"/>
      <c r="M41" s="114"/>
      <c r="N41" s="1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31">
        <v>9.0</v>
      </c>
      <c r="C42" s="132" t="s">
        <v>81</v>
      </c>
      <c r="D42" s="132" t="s">
        <v>26</v>
      </c>
      <c r="E42" s="132" t="s">
        <v>79</v>
      </c>
      <c r="F42" s="133">
        <v>4.0</v>
      </c>
      <c r="G42" s="1"/>
      <c r="H42" s="131">
        <f t="shared" si="1"/>
        <v>4</v>
      </c>
      <c r="I42" s="134">
        <v>3.0</v>
      </c>
      <c r="J42" s="134">
        <f t="shared" si="2"/>
        <v>1</v>
      </c>
      <c r="K42" s="134">
        <f t="shared" si="3"/>
        <v>4.5</v>
      </c>
      <c r="L42" s="135" t="s">
        <v>75</v>
      </c>
      <c r="M42" s="135">
        <f>AVERAGE(K42:K43)</f>
        <v>4.5</v>
      </c>
      <c r="N42" s="136">
        <f>(0.6 * M42) + (0.4 * M44)</f>
        <v>4.5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37">
        <v>10.0</v>
      </c>
      <c r="C43" s="138" t="s">
        <v>81</v>
      </c>
      <c r="D43" s="138" t="s">
        <v>35</v>
      </c>
      <c r="E43" s="138" t="s">
        <v>76</v>
      </c>
      <c r="F43" s="139">
        <v>4.0</v>
      </c>
      <c r="G43" s="1"/>
      <c r="H43" s="137">
        <f t="shared" si="1"/>
        <v>4</v>
      </c>
      <c r="I43" s="140">
        <v>3.0</v>
      </c>
      <c r="J43" s="140">
        <f t="shared" si="2"/>
        <v>1</v>
      </c>
      <c r="K43" s="140">
        <f t="shared" si="3"/>
        <v>4.5</v>
      </c>
      <c r="L43" s="107"/>
      <c r="M43" s="107"/>
      <c r="N43" s="10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37">
        <v>11.0</v>
      </c>
      <c r="C44" s="138" t="s">
        <v>81</v>
      </c>
      <c r="D44" s="138" t="s">
        <v>44</v>
      </c>
      <c r="E44" s="138" t="s">
        <v>61</v>
      </c>
      <c r="F44" s="139">
        <v>4.0</v>
      </c>
      <c r="G44" s="1"/>
      <c r="H44" s="137">
        <f t="shared" si="1"/>
        <v>4</v>
      </c>
      <c r="I44" s="140">
        <v>3.0</v>
      </c>
      <c r="J44" s="140">
        <f t="shared" si="2"/>
        <v>1</v>
      </c>
      <c r="K44" s="140">
        <f t="shared" si="3"/>
        <v>4.5</v>
      </c>
      <c r="L44" s="141" t="s">
        <v>77</v>
      </c>
      <c r="M44" s="141">
        <f>AVERAGE(K44:K45)</f>
        <v>4.5</v>
      </c>
      <c r="N44" s="10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42">
        <v>12.0</v>
      </c>
      <c r="C45" s="143" t="s">
        <v>81</v>
      </c>
      <c r="D45" s="143" t="s">
        <v>49</v>
      </c>
      <c r="E45" s="143" t="s">
        <v>82</v>
      </c>
      <c r="F45" s="144">
        <v>3.0</v>
      </c>
      <c r="G45" s="1"/>
      <c r="H45" s="142">
        <f t="shared" si="1"/>
        <v>3</v>
      </c>
      <c r="I45" s="145">
        <v>2.0</v>
      </c>
      <c r="J45" s="145">
        <f t="shared" si="2"/>
        <v>1</v>
      </c>
      <c r="K45" s="145">
        <f t="shared" si="3"/>
        <v>4.5</v>
      </c>
      <c r="L45" s="114"/>
      <c r="M45" s="114"/>
      <c r="N45" s="1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46">
        <v>13.0</v>
      </c>
      <c r="C46" s="147" t="s">
        <v>83</v>
      </c>
      <c r="D46" s="147" t="s">
        <v>26</v>
      </c>
      <c r="E46" s="147" t="s">
        <v>84</v>
      </c>
      <c r="F46" s="148">
        <v>2.0</v>
      </c>
      <c r="G46" s="1"/>
      <c r="H46" s="146">
        <f t="shared" si="1"/>
        <v>2</v>
      </c>
      <c r="I46" s="149">
        <v>3.0</v>
      </c>
      <c r="J46" s="149">
        <f t="shared" si="2"/>
        <v>-1</v>
      </c>
      <c r="K46" s="149">
        <f t="shared" si="3"/>
        <v>4</v>
      </c>
      <c r="L46" s="150" t="s">
        <v>75</v>
      </c>
      <c r="M46" s="150">
        <f>AVERAGE(K46:K47)</f>
        <v>4</v>
      </c>
      <c r="N46" s="151">
        <f>(0.6 * M46) + (0.4 * M48)</f>
        <v>4.1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52">
        <v>14.0</v>
      </c>
      <c r="C47" s="153" t="s">
        <v>83</v>
      </c>
      <c r="D47" s="153" t="s">
        <v>35</v>
      </c>
      <c r="E47" s="153" t="s">
        <v>85</v>
      </c>
      <c r="F47" s="154">
        <v>2.0</v>
      </c>
      <c r="G47" s="1"/>
      <c r="H47" s="152">
        <f t="shared" si="1"/>
        <v>2</v>
      </c>
      <c r="I47" s="155">
        <v>3.0</v>
      </c>
      <c r="J47" s="155">
        <f t="shared" si="2"/>
        <v>-1</v>
      </c>
      <c r="K47" s="155">
        <f t="shared" si="3"/>
        <v>4</v>
      </c>
      <c r="L47" s="107"/>
      <c r="M47" s="107"/>
      <c r="N47" s="10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52">
        <v>15.0</v>
      </c>
      <c r="C48" s="153" t="s">
        <v>83</v>
      </c>
      <c r="D48" s="153" t="s">
        <v>44</v>
      </c>
      <c r="E48" s="153" t="s">
        <v>86</v>
      </c>
      <c r="F48" s="154">
        <v>2.0</v>
      </c>
      <c r="G48" s="1"/>
      <c r="H48" s="152">
        <f t="shared" si="1"/>
        <v>2</v>
      </c>
      <c r="I48" s="155">
        <v>3.0</v>
      </c>
      <c r="J48" s="155">
        <f t="shared" si="2"/>
        <v>-1</v>
      </c>
      <c r="K48" s="155">
        <f t="shared" si="3"/>
        <v>4</v>
      </c>
      <c r="L48" s="156" t="s">
        <v>77</v>
      </c>
      <c r="M48" s="156">
        <f>AVERAGE(K48:K49)</f>
        <v>4.25</v>
      </c>
      <c r="N48" s="10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57">
        <v>16.0</v>
      </c>
      <c r="C49" s="158" t="s">
        <v>83</v>
      </c>
      <c r="D49" s="158" t="s">
        <v>49</v>
      </c>
      <c r="E49" s="158" t="s">
        <v>82</v>
      </c>
      <c r="F49" s="159">
        <v>3.0</v>
      </c>
      <c r="G49" s="1"/>
      <c r="H49" s="157">
        <f t="shared" si="1"/>
        <v>3</v>
      </c>
      <c r="I49" s="160">
        <v>2.0</v>
      </c>
      <c r="J49" s="160">
        <f t="shared" si="2"/>
        <v>1</v>
      </c>
      <c r="K49" s="160">
        <f t="shared" si="3"/>
        <v>4.5</v>
      </c>
      <c r="L49" s="114"/>
      <c r="M49" s="114"/>
      <c r="N49" s="1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61"/>
      <c r="C51" s="162"/>
      <c r="D51" s="163"/>
      <c r="F51" s="161"/>
      <c r="G51" s="1"/>
      <c r="H51" s="164" t="s">
        <v>87</v>
      </c>
      <c r="I51" s="165"/>
      <c r="J51" s="165"/>
      <c r="K51" s="165"/>
      <c r="L51" s="166"/>
      <c r="M51" s="166"/>
      <c r="N51" s="16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67"/>
      <c r="C52" s="167"/>
      <c r="D52" s="167"/>
      <c r="E52" s="167"/>
      <c r="F52" s="167"/>
      <c r="G52" s="1"/>
      <c r="H52" s="168" t="s">
        <v>88</v>
      </c>
      <c r="I52" s="169" t="s">
        <v>89</v>
      </c>
      <c r="J52" s="170"/>
      <c r="K52" s="170"/>
      <c r="L52" s="171"/>
      <c r="M52" s="171"/>
      <c r="N52" s="17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6">
    <mergeCell ref="B1:N1"/>
    <mergeCell ref="B2:N2"/>
    <mergeCell ref="J5:N5"/>
    <mergeCell ref="I26:J26"/>
    <mergeCell ref="I27:J27"/>
    <mergeCell ref="K27:L27"/>
    <mergeCell ref="K28:L28"/>
    <mergeCell ref="I28:J28"/>
    <mergeCell ref="I29:J29"/>
    <mergeCell ref="K29:L29"/>
    <mergeCell ref="I30:J30"/>
    <mergeCell ref="K30:L30"/>
    <mergeCell ref="B32:C32"/>
    <mergeCell ref="L34:L35"/>
    <mergeCell ref="M34:M35"/>
    <mergeCell ref="N34:N37"/>
    <mergeCell ref="L36:L37"/>
    <mergeCell ref="M36:M37"/>
    <mergeCell ref="L38:L39"/>
    <mergeCell ref="M38:M39"/>
    <mergeCell ref="N38:N41"/>
    <mergeCell ref="L46:L47"/>
    <mergeCell ref="M46:M47"/>
    <mergeCell ref="N46:N49"/>
    <mergeCell ref="L48:L49"/>
    <mergeCell ref="M48:M49"/>
    <mergeCell ref="D51:E51"/>
    <mergeCell ref="H51:K51"/>
    <mergeCell ref="I52:K52"/>
    <mergeCell ref="L40:L41"/>
    <mergeCell ref="M40:M41"/>
    <mergeCell ref="L42:L43"/>
    <mergeCell ref="M42:M43"/>
    <mergeCell ref="N42:N45"/>
    <mergeCell ref="L44:L45"/>
    <mergeCell ref="M44:M4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2" t="s">
        <v>90</v>
      </c>
    </row>
    <row r="2">
      <c r="A2" s="173" t="s">
        <v>91</v>
      </c>
    </row>
  </sheetData>
  <hyperlinks>
    <hyperlink r:id="rId1" ref="A1"/>
  </hyperlinks>
  <drawing r:id="rId2"/>
</worksheet>
</file>