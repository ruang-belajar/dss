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<sst xmlns="http://schemas.openxmlformats.org/spreadsheetml/2006/main" count="57" uniqueCount="29">
  <si>
    <t>Kriteria</t>
  </si>
  <si>
    <t>Code</t>
  </si>
  <si>
    <t>Name/Remarks</t>
  </si>
  <si>
    <t>Weight</t>
  </si>
  <si>
    <t>Attributes</t>
  </si>
  <si>
    <t xml:space="preserve"> </t>
  </si>
  <si>
    <t>C1</t>
  </si>
  <si>
    <t>GPA</t>
  </si>
  <si>
    <t>Benefit</t>
  </si>
  <si>
    <t>C2</t>
  </si>
  <si>
    <t>Parent's Income</t>
  </si>
  <si>
    <t>Cost</t>
  </si>
  <si>
    <t>C3</t>
  </si>
  <si>
    <t>Parent's Dependent</t>
  </si>
  <si>
    <t>List of alternatives</t>
  </si>
  <si>
    <t>Normalization</t>
  </si>
  <si>
    <t>Counted V</t>
  </si>
  <si>
    <t>V</t>
  </si>
  <si>
    <t>Ranking Choice</t>
  </si>
  <si>
    <t>No</t>
  </si>
  <si>
    <t>Student ID</t>
  </si>
  <si>
    <t xml:space="preserve">Alternative </t>
  </si>
  <si>
    <t>Alfa</t>
  </si>
  <si>
    <t>Delta</t>
  </si>
  <si>
    <t>Gamma</t>
  </si>
  <si>
    <t>Zetta</t>
  </si>
  <si>
    <t>Tetta</t>
  </si>
  <si>
    <t>Max/MIn</t>
  </si>
  <si>
    <t>rij=xijmax.xij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</si>
</sst>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sz val="24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3" fillId="0" borderId="5" xfId="0" applyFont="1" applyBorder="1" applyAlignment="1"/>
    <xf numFmtId="2" fontId="1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4" fillId="0" borderId="0" xfId="0" applyFont="1" applyAlignment="1"/>
    <xf numFmtId="2" fontId="1" fillId="0" borderId="0" xfId="0" applyNumberFormat="1" applyFont="1"/>
    <xf numFmtId="0" fontId="1" fillId="0" borderId="0" xfId="0" applyFont="1" applyAlignment="1"/>
    <xf numFmtId="0" fontId="3" fillId="0" borderId="6" xfId="0" applyFont="1" applyBorder="1" applyAlignment="1"/>
    <xf numFmtId="0" fontId="1" fillId="0" borderId="4" xfId="0" applyFont="1" applyBorder="1" applyAlignment="1"/>
    <xf numFmtId="0" fontId="3" fillId="0" borderId="6" xfId="0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2" fontId="1" fillId="0" borderId="4" xfId="0" applyNumberFormat="1" applyFont="1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/>
    </xf>
    <xf numFmtId="0" fontId="1" fillId="2" borderId="4" xfId="0" applyFont="1" applyFill="1" applyBorder="1" applyAlignment="1"/>
    <xf numFmtId="0" fontId="1" fillId="4" borderId="4" xfId="0" applyFont="1" applyFill="1" applyBorder="1" applyAlignment="1"/>
    <xf numFmtId="2" fontId="1" fillId="4" borderId="4" xfId="0" applyNumberFormat="1" applyFont="1" applyFill="1" applyBorder="1"/>
    <xf numFmtId="0" fontId="1" fillId="4" borderId="4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1:U32"/>
  <sheetViews>
    <sheetView tabSelected="1" topLeftCell="A13" workbookViewId="0">
      <selection activeCell="A24" sqref="A24"/>
    </sheetView>
  </sheetViews>
  <sheetFormatPr defaultColWidth="12.6285714285714" defaultRowHeight="15.75" customHeight="1"/>
  <cols>
    <col min="2" max="2" width="18.5047619047619" customWidth="1"/>
    <col min="5" max="5" width="13.5047619047619" customWidth="1"/>
    <col min="6" max="6" width="15.1333333333333" customWidth="1"/>
    <col min="13" max="13" width="19" customWidth="1"/>
  </cols>
  <sheetData>
    <row r="11" customHeight="1" spans="11:11">
      <c r="K11" s="12"/>
    </row>
    <row r="12" customHeight="1" spans="11:11">
      <c r="K12" s="12"/>
    </row>
    <row r="13" customHeight="1" spans="1:4">
      <c r="A13" s="1" t="s">
        <v>0</v>
      </c>
      <c r="B13" s="2"/>
      <c r="C13" s="2"/>
      <c r="D13" s="3"/>
    </row>
    <row r="14" customHeight="1" spans="1:15">
      <c r="A14" s="4" t="s">
        <v>1</v>
      </c>
      <c r="B14" s="4" t="s">
        <v>2</v>
      </c>
      <c r="C14" s="4" t="s">
        <v>3</v>
      </c>
      <c r="D14" s="4" t="s">
        <v>4</v>
      </c>
      <c r="O14" s="13" t="s">
        <v>5</v>
      </c>
    </row>
    <row r="15" customHeight="1" spans="1:4">
      <c r="A15" s="4" t="s">
        <v>6</v>
      </c>
      <c r="B15" s="4" t="s">
        <v>7</v>
      </c>
      <c r="C15" s="4">
        <v>0.4</v>
      </c>
      <c r="D15" s="4" t="s">
        <v>8</v>
      </c>
    </row>
    <row r="16" customHeight="1" spans="1:4">
      <c r="A16" s="4" t="s">
        <v>9</v>
      </c>
      <c r="B16" s="4" t="s">
        <v>10</v>
      </c>
      <c r="C16" s="4">
        <v>0.3</v>
      </c>
      <c r="D16" s="4" t="s">
        <v>11</v>
      </c>
    </row>
    <row r="17" customHeight="1" spans="1:4">
      <c r="A17" s="4" t="s">
        <v>12</v>
      </c>
      <c r="B17" s="4" t="s">
        <v>13</v>
      </c>
      <c r="C17" s="4">
        <v>0.3</v>
      </c>
      <c r="D17" s="4" t="s">
        <v>8</v>
      </c>
    </row>
    <row r="18" customHeight="1" spans="8:8">
      <c r="H18" s="5"/>
    </row>
    <row r="19" customHeight="1" spans="1:13">
      <c r="A19" s="1" t="s">
        <v>14</v>
      </c>
      <c r="B19" s="2"/>
      <c r="C19" s="2"/>
      <c r="D19" s="2"/>
      <c r="E19" s="2"/>
      <c r="F19" s="3"/>
      <c r="H19" s="6" t="s">
        <v>14</v>
      </c>
      <c r="I19" s="2"/>
      <c r="J19" s="2"/>
      <c r="K19" s="2"/>
      <c r="L19" s="2"/>
      <c r="M19" s="3"/>
    </row>
    <row r="20" customHeight="1" spans="1:21">
      <c r="A20" s="7"/>
      <c r="B20" s="7"/>
      <c r="C20" s="7"/>
      <c r="D20" s="7" t="s">
        <v>6</v>
      </c>
      <c r="E20" s="7" t="s">
        <v>9</v>
      </c>
      <c r="F20" s="7" t="s">
        <v>12</v>
      </c>
      <c r="H20" s="8"/>
      <c r="I20" s="14"/>
      <c r="J20" s="14"/>
      <c r="K20" s="14" t="s">
        <v>6</v>
      </c>
      <c r="L20" s="14" t="s">
        <v>9</v>
      </c>
      <c r="M20" s="14" t="s">
        <v>12</v>
      </c>
      <c r="N20" s="1" t="s">
        <v>15</v>
      </c>
      <c r="O20" s="2"/>
      <c r="P20" s="3"/>
      <c r="Q20" s="20" t="s">
        <v>16</v>
      </c>
      <c r="R20" s="2"/>
      <c r="S20" s="3"/>
      <c r="T20" s="21" t="s">
        <v>17</v>
      </c>
      <c r="U20" s="21" t="s">
        <v>18</v>
      </c>
    </row>
    <row r="21" customHeight="1" spans="1:21">
      <c r="A21" s="7" t="s">
        <v>19</v>
      </c>
      <c r="B21" s="7" t="s">
        <v>20</v>
      </c>
      <c r="C21" s="7" t="s">
        <v>21</v>
      </c>
      <c r="D21" s="7" t="s">
        <v>7</v>
      </c>
      <c r="E21" s="7" t="s">
        <v>10</v>
      </c>
      <c r="F21" s="7" t="s">
        <v>13</v>
      </c>
      <c r="H21" s="8" t="s">
        <v>19</v>
      </c>
      <c r="I21" s="14" t="s">
        <v>20</v>
      </c>
      <c r="J21" s="14" t="s">
        <v>21</v>
      </c>
      <c r="K21" s="14" t="s">
        <v>7</v>
      </c>
      <c r="L21" s="14" t="s">
        <v>10</v>
      </c>
      <c r="M21" s="14" t="s">
        <v>13</v>
      </c>
      <c r="N21" s="15" t="s">
        <v>6</v>
      </c>
      <c r="O21" s="15" t="s">
        <v>9</v>
      </c>
      <c r="P21" s="15" t="s">
        <v>12</v>
      </c>
      <c r="Q21" s="22" t="s">
        <v>6</v>
      </c>
      <c r="R21" s="22" t="s">
        <v>9</v>
      </c>
      <c r="S21" s="22" t="s">
        <v>12</v>
      </c>
      <c r="T21" s="19"/>
      <c r="U21" s="19"/>
    </row>
    <row r="22" customHeight="1" spans="1:21">
      <c r="A22" s="7">
        <v>1</v>
      </c>
      <c r="B22" s="7">
        <v>111</v>
      </c>
      <c r="C22" s="7" t="s">
        <v>22</v>
      </c>
      <c r="D22" s="9">
        <v>3.82</v>
      </c>
      <c r="E22" s="7">
        <v>2500000</v>
      </c>
      <c r="F22" s="7">
        <f ca="1">RANDBETWEEN(1,5)</f>
        <v>5</v>
      </c>
      <c r="H22" s="10">
        <v>1</v>
      </c>
      <c r="I22" s="16">
        <v>111</v>
      </c>
      <c r="J22" s="14" t="s">
        <v>22</v>
      </c>
      <c r="K22" s="17">
        <v>3.82</v>
      </c>
      <c r="L22" s="16">
        <v>2500000</v>
      </c>
      <c r="M22" s="16">
        <v>1</v>
      </c>
      <c r="N22" s="18">
        <f ca="1" t="shared" ref="N22:N26" si="0">K22/MAX($K$22:$K$26)</f>
        <v>0.955</v>
      </c>
      <c r="O22" s="18">
        <f t="shared" ref="O22:O26" si="1">MIN($L$22:$L$26)/L22</f>
        <v>0.6</v>
      </c>
      <c r="P22" s="18">
        <f t="shared" ref="P22:P26" si="2">M22/MAX($M$22:$M$26)</f>
        <v>0.2</v>
      </c>
      <c r="Q22" s="23">
        <f ca="1" t="shared" ref="Q22:Q26" si="3">N22*C$15</f>
        <v>0.382</v>
      </c>
      <c r="R22" s="24">
        <f t="shared" ref="R22:R26" si="4">O22*C$16</f>
        <v>0.18</v>
      </c>
      <c r="S22" s="23">
        <f t="shared" ref="S22:S26" si="5">P22*C$17</f>
        <v>0.06</v>
      </c>
      <c r="T22" s="18">
        <f ca="1" t="shared" ref="T22:T26" si="6">Q22+R22+S22</f>
        <v>0.622</v>
      </c>
      <c r="U22" s="19">
        <f ca="1">RANK(T22,$T$22:T26)</f>
        <v>4</v>
      </c>
    </row>
    <row r="23" customHeight="1" spans="1:21">
      <c r="A23" s="7">
        <v>2</v>
      </c>
      <c r="B23" s="7">
        <v>112</v>
      </c>
      <c r="C23" s="7" t="s">
        <v>23</v>
      </c>
      <c r="D23" s="9">
        <v>4</v>
      </c>
      <c r="E23" s="7">
        <v>1500000</v>
      </c>
      <c r="F23" s="7">
        <v>2</v>
      </c>
      <c r="H23" s="10">
        <v>2</v>
      </c>
      <c r="I23" s="16">
        <v>112</v>
      </c>
      <c r="J23" s="14" t="s">
        <v>23</v>
      </c>
      <c r="K23" s="17">
        <v>4</v>
      </c>
      <c r="L23" s="16">
        <v>1500000</v>
      </c>
      <c r="M23" s="16">
        <v>2</v>
      </c>
      <c r="N23" s="18">
        <f ca="1" t="shared" si="0"/>
        <v>1</v>
      </c>
      <c r="O23" s="18">
        <f t="shared" si="1"/>
        <v>1</v>
      </c>
      <c r="P23" s="18">
        <f t="shared" si="2"/>
        <v>0.4</v>
      </c>
      <c r="Q23" s="23">
        <f ca="1" t="shared" si="3"/>
        <v>0.4</v>
      </c>
      <c r="R23" s="23">
        <f t="shared" si="4"/>
        <v>0.3</v>
      </c>
      <c r="S23" s="24">
        <f t="shared" si="5"/>
        <v>0.12</v>
      </c>
      <c r="T23" s="18">
        <f ca="1" t="shared" si="6"/>
        <v>0.82</v>
      </c>
      <c r="U23" s="19">
        <f ca="1">RANK(T23,$T$22:T27)</f>
        <v>1</v>
      </c>
    </row>
    <row r="24" customHeight="1" spans="1:21">
      <c r="A24" s="7">
        <v>3</v>
      </c>
      <c r="B24" s="7">
        <v>113</v>
      </c>
      <c r="C24" s="7" t="s">
        <v>24</v>
      </c>
      <c r="D24" s="9">
        <v>2.48</v>
      </c>
      <c r="E24" s="7">
        <v>4000000</v>
      </c>
      <c r="F24" s="7">
        <f ca="1">RANDBETWEEN(1,5)</f>
        <v>5</v>
      </c>
      <c r="H24" s="10">
        <v>3</v>
      </c>
      <c r="I24" s="16">
        <v>113</v>
      </c>
      <c r="J24" s="14" t="s">
        <v>24</v>
      </c>
      <c r="K24" s="17">
        <v>2.48</v>
      </c>
      <c r="L24" s="16">
        <v>4000000</v>
      </c>
      <c r="M24" s="16">
        <v>5</v>
      </c>
      <c r="N24" s="19">
        <f ca="1" t="shared" si="0"/>
        <v>0.62</v>
      </c>
      <c r="O24" s="18">
        <f t="shared" si="1"/>
        <v>0.375</v>
      </c>
      <c r="P24" s="18">
        <f t="shared" si="2"/>
        <v>1</v>
      </c>
      <c r="Q24" s="23">
        <f ca="1" t="shared" si="3"/>
        <v>0.248</v>
      </c>
      <c r="R24" s="23">
        <f t="shared" si="4"/>
        <v>0.1125</v>
      </c>
      <c r="S24" s="23">
        <f t="shared" si="5"/>
        <v>0.3</v>
      </c>
      <c r="T24" s="18">
        <f ca="1" t="shared" si="6"/>
        <v>0.6605</v>
      </c>
      <c r="U24" s="19">
        <f ca="1">RANK(T24,$T$22:T28)</f>
        <v>2</v>
      </c>
    </row>
    <row r="25" customHeight="1" spans="1:21">
      <c r="A25" s="7">
        <v>4</v>
      </c>
      <c r="B25" s="7">
        <v>114</v>
      </c>
      <c r="C25" s="7" t="s">
        <v>25</v>
      </c>
      <c r="D25" s="9">
        <v>3.24</v>
      </c>
      <c r="E25" s="7">
        <v>3200000</v>
      </c>
      <c r="F25" s="7">
        <v>1</v>
      </c>
      <c r="H25" s="10">
        <v>4</v>
      </c>
      <c r="I25" s="16">
        <v>114</v>
      </c>
      <c r="J25" s="14" t="s">
        <v>25</v>
      </c>
      <c r="K25" s="17">
        <v>3.24</v>
      </c>
      <c r="L25" s="16">
        <v>3200000</v>
      </c>
      <c r="M25" s="16">
        <v>3</v>
      </c>
      <c r="N25" s="19">
        <f ca="1" t="shared" si="0"/>
        <v>0.81</v>
      </c>
      <c r="O25" s="18">
        <f t="shared" si="1"/>
        <v>0.46875</v>
      </c>
      <c r="P25" s="18">
        <f t="shared" si="2"/>
        <v>0.6</v>
      </c>
      <c r="Q25" s="23">
        <f ca="1" t="shared" si="3"/>
        <v>0.324</v>
      </c>
      <c r="R25" s="23">
        <f t="shared" si="4"/>
        <v>0.140625</v>
      </c>
      <c r="S25" s="23">
        <f t="shared" si="5"/>
        <v>0.18</v>
      </c>
      <c r="T25" s="18">
        <f ca="1" t="shared" si="6"/>
        <v>0.644625</v>
      </c>
      <c r="U25" s="19">
        <f ca="1">RANK(T25,$T$22:T29)</f>
        <v>3</v>
      </c>
    </row>
    <row r="26" customHeight="1" spans="1:21">
      <c r="A26" s="7">
        <v>5</v>
      </c>
      <c r="B26" s="7">
        <v>115</v>
      </c>
      <c r="C26" s="7" t="s">
        <v>26</v>
      </c>
      <c r="D26" s="9">
        <f ca="1">RANDBETWEEN(0.1,4)</f>
        <v>4</v>
      </c>
      <c r="E26" s="7">
        <v>5000000</v>
      </c>
      <c r="F26" s="7">
        <f ca="1">RANDBETWEEN(1,5)</f>
        <v>4</v>
      </c>
      <c r="H26" s="10">
        <v>5</v>
      </c>
      <c r="I26" s="16">
        <v>115</v>
      </c>
      <c r="J26" s="14" t="s">
        <v>26</v>
      </c>
      <c r="K26" s="17">
        <f ca="1">RANDBETWEEN(0.1,4)</f>
        <v>4</v>
      </c>
      <c r="L26" s="16">
        <v>5000000</v>
      </c>
      <c r="M26" s="16">
        <v>1</v>
      </c>
      <c r="N26" s="18">
        <f ca="1" t="shared" si="0"/>
        <v>1</v>
      </c>
      <c r="O26" s="18">
        <f t="shared" si="1"/>
        <v>0.3</v>
      </c>
      <c r="P26" s="18">
        <f t="shared" si="2"/>
        <v>0.2</v>
      </c>
      <c r="Q26" s="23">
        <f ca="1" t="shared" si="3"/>
        <v>0.4</v>
      </c>
      <c r="R26" s="24">
        <f t="shared" si="4"/>
        <v>0.09</v>
      </c>
      <c r="S26" s="23">
        <f t="shared" si="5"/>
        <v>0.06</v>
      </c>
      <c r="T26" s="18">
        <f ca="1" t="shared" si="6"/>
        <v>0.55</v>
      </c>
      <c r="U26" s="19">
        <f ca="1">RANK(T26,$T$22:T30)</f>
        <v>5</v>
      </c>
    </row>
    <row r="27" customHeight="1" spans="10:13">
      <c r="J27" s="13" t="s">
        <v>27</v>
      </c>
      <c r="K27" s="12">
        <f ca="1">MAX(K22:K26)</f>
        <v>4</v>
      </c>
      <c r="L27" s="5">
        <f>MIN(L22:L26)</f>
        <v>1500000</v>
      </c>
      <c r="M27" s="5">
        <f>MAX(M22:M26)</f>
        <v>5</v>
      </c>
    </row>
    <row r="28" customHeight="1" spans="1:1">
      <c r="A28" s="11"/>
    </row>
    <row r="32" customHeight="1" spans="12:12">
      <c r="L32" s="11" t="s">
        <v>28</v>
      </c>
    </row>
  </sheetData>
  <mergeCells count="5">
    <mergeCell ref="A13:D13"/>
    <mergeCell ref="A19:F19"/>
    <mergeCell ref="H19:M19"/>
    <mergeCell ref="N20:P20"/>
    <mergeCell ref="Q20:S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google1585754815</cp:lastModifiedBy>
  <dcterms:created xsi:type="dcterms:W3CDTF">2025-11-06T07:37:38Z</dcterms:created>
  <dcterms:modified xsi:type="dcterms:W3CDTF">2025-11-06T07:41:11Z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BE5D7EE243524B3A9C80B0E40DC1FCD5_12</vt:lpwstr>
  </property>
  <property fmtid="{D5CDD505-2E9C-101B-9397-08002B2CF9AE}" pid="3" name="KSOProductBuildVer">
    <vt:lpwstr>1033-12.2.0.23155</vt:lpwstr>
  </property>
</Properties>
</file>