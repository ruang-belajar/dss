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900" activeTab="1"/>
  </bookViews>
  <sheets>
    <sheet name="CPI" sheetId="2" r:id="rId1"/>
    <sheet name="Sheet2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<sst xmlns="http://schemas.openxmlformats.org/spreadsheetml/2006/main" count="47" uniqueCount="39">
  <si>
    <t>Template perhitungan CPI</t>
  </si>
  <si>
    <t>GPA</t>
  </si>
  <si>
    <t>Income</t>
  </si>
  <si>
    <t>Dependent</t>
  </si>
  <si>
    <t>Jenis kriteria</t>
  </si>
  <si>
    <t>benefit</t>
  </si>
  <si>
    <t>cost</t>
  </si>
  <si>
    <t>Bobot</t>
  </si>
  <si>
    <t>Normalisasi</t>
  </si>
  <si>
    <t>CPI</t>
  </si>
  <si>
    <t>Alternatif</t>
  </si>
  <si>
    <t>Alfa</t>
  </si>
  <si>
    <t>Delta</t>
  </si>
  <si>
    <t>Gamma</t>
  </si>
  <si>
    <t>Zetta</t>
  </si>
  <si>
    <t>Tetta</t>
  </si>
  <si>
    <t>Min</t>
  </si>
  <si>
    <t>Alternatif terbaik</t>
  </si>
  <si>
    <t>Simple Additive Weight</t>
  </si>
  <si>
    <t>Kriteria</t>
  </si>
  <si>
    <t>Code</t>
  </si>
  <si>
    <t>Name/Remarks</t>
  </si>
  <si>
    <t>Weight</t>
  </si>
  <si>
    <t>Attributes</t>
  </si>
  <si>
    <t xml:space="preserve"> </t>
  </si>
  <si>
    <t>C1</t>
  </si>
  <si>
    <t>Benefit</t>
  </si>
  <si>
    <t>C2</t>
  </si>
  <si>
    <t>Parent's Income</t>
  </si>
  <si>
    <t>Cost</t>
  </si>
  <si>
    <t>C3</t>
  </si>
  <si>
    <t>Parent's Dependent</t>
  </si>
  <si>
    <t>List of alternatives</t>
  </si>
  <si>
    <t>Normalization</t>
  </si>
  <si>
    <t>Counted V</t>
  </si>
  <si>
    <t>V</t>
  </si>
  <si>
    <t>Ranking Choice</t>
  </si>
  <si>
    <t xml:space="preserve">Alternative </t>
  </si>
  <si>
    <t>Max/MIn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</si>
</sst>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0">
    <font>
      <sz val="10"/>
      <color rgb="FF000000"/>
      <name val="Arial"/>
      <charset val="134"/>
      <scheme val="minor"/>
    </font>
    <font>
      <b/>
      <sz val="18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</font>
    <font>
      <sz val="24"/>
      <color rgb="FF000000"/>
      <name val="Arial"/>
      <charset val="134"/>
    </font>
    <font>
      <b/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b/>
      <sz val="14"/>
      <color theme="1"/>
      <name val="Arial"/>
      <charset val="134"/>
      <scheme val="minor"/>
    </font>
    <font>
      <b/>
      <sz val="11"/>
      <color theme="1"/>
      <name val="Arial"/>
      <charset val="134"/>
      <scheme val="minor"/>
    </font>
    <font>
      <sz val="11"/>
      <color theme="0" tint="-0.5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15"/>
        <bgColor rgb="FFB6D7A8"/>
      </patternFill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9" borderId="9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3" applyNumberFormat="0" applyAlignment="0" applyProtection="0">
      <alignment vertical="center"/>
    </xf>
    <xf numFmtId="0" fontId="21" fillId="11" borderId="12" applyNumberFormat="0" applyAlignment="0" applyProtection="0">
      <alignment vertical="center"/>
    </xf>
    <xf numFmtId="0" fontId="22" fillId="12" borderId="14" applyNumberFormat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</cellStyleXfs>
  <cellXfs count="45">
    <xf numFmtId="0" fontId="0" fillId="0" borderId="0" xfId="0" applyFont="1" applyAlignment="1"/>
    <xf numFmtId="0" fontId="1" fillId="0" borderId="0" xfId="0" applyFont="1" applyAlignment="1"/>
    <xf numFmtId="0" fontId="2" fillId="2" borderId="1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3" xfId="0" applyFont="1" applyFill="1" applyBorder="1"/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0" borderId="5" xfId="0" applyFont="1" applyBorder="1" applyAlignment="1"/>
    <xf numFmtId="0" fontId="2" fillId="0" borderId="4" xfId="0" applyFont="1" applyBorder="1" applyAlignment="1"/>
    <xf numFmtId="0" fontId="4" fillId="4" borderId="5" xfId="0" applyFont="1" applyFill="1" applyBorder="1" applyAlignment="1"/>
    <xf numFmtId="2" fontId="4" fillId="4" borderId="5" xfId="0" applyNumberFormat="1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2" fontId="2" fillId="0" borderId="4" xfId="0" applyNumberFormat="1" applyFont="1" applyBorder="1"/>
    <xf numFmtId="0" fontId="2" fillId="0" borderId="4" xfId="0" applyFont="1" applyBorder="1"/>
    <xf numFmtId="0" fontId="4" fillId="0" borderId="0" xfId="0" applyFont="1" applyFill="1" applyAlignment="1"/>
    <xf numFmtId="2" fontId="4" fillId="0" borderId="0" xfId="0" applyNumberFormat="1" applyFont="1" applyFill="1" applyAlignment="1">
      <alignment horizontal="right"/>
    </xf>
    <xf numFmtId="0" fontId="4" fillId="0" borderId="0" xfId="0" applyFont="1" applyFill="1" applyAlignment="1">
      <alignment horizontal="right"/>
    </xf>
    <xf numFmtId="2" fontId="2" fillId="0" borderId="0" xfId="0" applyNumberFormat="1" applyFont="1"/>
    <xf numFmtId="0" fontId="5" fillId="0" borderId="0" xfId="0" applyFont="1" applyAlignment="1"/>
    <xf numFmtId="0" fontId="2" fillId="0" borderId="0" xfId="0" applyFont="1"/>
    <xf numFmtId="0" fontId="2" fillId="5" borderId="1" xfId="0" applyFont="1" applyFill="1" applyBorder="1" applyAlignment="1">
      <alignment horizontal="center"/>
    </xf>
    <xf numFmtId="0" fontId="2" fillId="2" borderId="4" xfId="0" applyFont="1" applyFill="1" applyBorder="1" applyAlignment="1"/>
    <xf numFmtId="0" fontId="2" fillId="6" borderId="4" xfId="0" applyFont="1" applyFill="1" applyBorder="1" applyAlignment="1"/>
    <xf numFmtId="2" fontId="2" fillId="6" borderId="4" xfId="0" applyNumberFormat="1" applyFont="1" applyFill="1" applyBorder="1"/>
    <xf numFmtId="0" fontId="2" fillId="6" borderId="4" xfId="0" applyFont="1" applyFill="1" applyBorder="1"/>
    <xf numFmtId="0" fontId="6" fillId="7" borderId="4" xfId="0" applyFont="1" applyFill="1" applyBorder="1"/>
    <xf numFmtId="2" fontId="2" fillId="6" borderId="0" xfId="0" applyNumberFormat="1" applyFont="1" applyFill="1"/>
    <xf numFmtId="0" fontId="2" fillId="6" borderId="0" xfId="0" applyFont="1" applyFill="1"/>
    <xf numFmtId="0" fontId="2" fillId="0" borderId="0" xfId="0" applyFont="1" applyFill="1"/>
    <xf numFmtId="0" fontId="2" fillId="0" borderId="0" xfId="0" applyFont="1" applyAlignment="1"/>
    <xf numFmtId="0" fontId="7" fillId="0" borderId="0" xfId="0" applyFont="1" applyFill="1" applyAlignment="1"/>
    <xf numFmtId="0" fontId="8" fillId="0" borderId="0" xfId="0" applyFont="1" applyFill="1" applyAlignment="1"/>
    <xf numFmtId="0" fontId="9" fillId="0" borderId="0" xfId="0" applyFont="1" applyFill="1" applyAlignment="1"/>
    <xf numFmtId="0" fontId="7" fillId="8" borderId="0" xfId="0" applyFont="1" applyFill="1" applyAlignment="1"/>
    <xf numFmtId="0" fontId="10" fillId="0" borderId="0" xfId="0" applyNumberFormat="1" applyFont="1" applyFill="1" applyAlignment="1"/>
    <xf numFmtId="0" fontId="7" fillId="0" borderId="6" xfId="0" applyFont="1" applyFill="1" applyBorder="1" applyAlignment="1">
      <alignment horizontal="center"/>
    </xf>
    <xf numFmtId="0" fontId="7" fillId="0" borderId="6" xfId="0" applyFont="1" applyFill="1" applyBorder="1" applyAlignment="1"/>
    <xf numFmtId="0" fontId="7" fillId="0" borderId="7" xfId="0" applyFont="1" applyFill="1" applyBorder="1" applyAlignment="1">
      <alignment horizontal="center"/>
    </xf>
    <xf numFmtId="0" fontId="7" fillId="0" borderId="8" xfId="0" applyFont="1" applyFill="1" applyBorder="1" applyAlignment="1"/>
    <xf numFmtId="0" fontId="9" fillId="0" borderId="6" xfId="0" applyFont="1" applyFill="1" applyBorder="1" applyAlignment="1"/>
    <xf numFmtId="0" fontId="9" fillId="7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workbookViewId="0">
      <selection activeCell="D9" sqref="D9:D13"/>
    </sheetView>
  </sheetViews>
  <sheetFormatPr defaultColWidth="9" defaultRowHeight="14.25"/>
  <cols>
    <col min="1" max="1" width="12.4285714285714" style="34" customWidth="1"/>
    <col min="2" max="2" width="12.2857142857143" style="34" customWidth="1"/>
    <col min="3" max="3" width="17.8571428571429" style="34" customWidth="1"/>
    <col min="4" max="4" width="18" style="34" customWidth="1"/>
    <col min="5" max="5" width="6.85714285714286" style="34" customWidth="1"/>
    <col min="6" max="8" width="14.7142857142857" style="34" customWidth="1"/>
    <col min="9" max="9" width="12.8571428571429" style="34"/>
    <col min="10" max="16384" width="9" style="34"/>
  </cols>
  <sheetData>
    <row r="1" ht="18" spans="1:1">
      <c r="A1" s="35" t="s">
        <v>0</v>
      </c>
    </row>
    <row r="2" ht="18" spans="1:1">
      <c r="A2" s="35"/>
    </row>
    <row r="3" ht="15" spans="1:4">
      <c r="A3" s="36"/>
      <c r="B3" s="37" t="s">
        <v>1</v>
      </c>
      <c r="C3" s="37" t="s">
        <v>2</v>
      </c>
      <c r="D3" s="37" t="s">
        <v>3</v>
      </c>
    </row>
    <row r="4" spans="1:4">
      <c r="A4" s="34" t="s">
        <v>4</v>
      </c>
      <c r="B4" s="37" t="s">
        <v>5</v>
      </c>
      <c r="C4" s="37" t="s">
        <v>6</v>
      </c>
      <c r="D4" s="37" t="s">
        <v>5</v>
      </c>
    </row>
    <row r="5" spans="1:4">
      <c r="A5" s="34" t="s">
        <v>7</v>
      </c>
      <c r="B5" s="37">
        <v>0.4</v>
      </c>
      <c r="C5" s="37">
        <v>0.3</v>
      </c>
      <c r="D5" s="37">
        <v>0.3</v>
      </c>
    </row>
    <row r="6" spans="3:4">
      <c r="C6" s="38">
        <f>SUM(B5:D5)</f>
        <v>1</v>
      </c>
      <c r="D6" s="34" t="str">
        <f>IF(C6=1,"==&gt; 👍 bobot valid","🚫 bobot tidak valid")</f>
        <v>==&gt; 👍 bobot valid</v>
      </c>
    </row>
    <row r="7" spans="6:9">
      <c r="F7" s="39" t="s">
        <v>8</v>
      </c>
      <c r="G7" s="39"/>
      <c r="H7" s="39"/>
      <c r="I7" s="41" t="s">
        <v>9</v>
      </c>
    </row>
    <row r="8" spans="1:9">
      <c r="A8" s="34" t="s">
        <v>10</v>
      </c>
      <c r="B8" s="34" t="str">
        <f>B3</f>
        <v>GPA</v>
      </c>
      <c r="C8" s="34" t="str">
        <f>C3</f>
        <v>Income</v>
      </c>
      <c r="D8" s="34" t="str">
        <f>D3</f>
        <v>Dependent</v>
      </c>
      <c r="F8" s="40" t="str">
        <f>B3</f>
        <v>GPA</v>
      </c>
      <c r="G8" s="40" t="str">
        <f>C3</f>
        <v>Income</v>
      </c>
      <c r="H8" s="40" t="str">
        <f>D3</f>
        <v>Dependent</v>
      </c>
      <c r="I8" s="42"/>
    </row>
    <row r="9" ht="15" spans="1:10">
      <c r="A9" s="37" t="s">
        <v>11</v>
      </c>
      <c r="B9" s="37">
        <v>3.82</v>
      </c>
      <c r="C9" s="37">
        <v>2500000</v>
      </c>
      <c r="D9" s="37">
        <v>4</v>
      </c>
      <c r="F9" s="40">
        <f>$B$15/B9</f>
        <v>0.649214659685864</v>
      </c>
      <c r="G9" s="40">
        <f>C9/$C$15</f>
        <v>1.66666666666667</v>
      </c>
      <c r="H9" s="40">
        <f>D9/$D$15</f>
        <v>1.33333333333333</v>
      </c>
      <c r="I9" s="43">
        <f>F9*$B$5+G9*$C$5+H9*$D$5</f>
        <v>1.15968586387435</v>
      </c>
      <c r="J9" s="34">
        <f>RANK(I9,$I$9:$I$13)</f>
        <v>3</v>
      </c>
    </row>
    <row r="10" ht="15" spans="1:10">
      <c r="A10" s="37" t="s">
        <v>12</v>
      </c>
      <c r="B10" s="37">
        <v>4</v>
      </c>
      <c r="C10" s="37">
        <v>1500000</v>
      </c>
      <c r="D10" s="37">
        <v>3</v>
      </c>
      <c r="F10" s="40">
        <f>$B$15/B10</f>
        <v>0.62</v>
      </c>
      <c r="G10" s="40">
        <f>C10/$C$15</f>
        <v>1</v>
      </c>
      <c r="H10" s="40">
        <f>D10/$D$15</f>
        <v>1</v>
      </c>
      <c r="I10" s="43">
        <f>F10*$B$5+G10*$C$5+H10*$D$5</f>
        <v>0.848</v>
      </c>
      <c r="J10" s="34">
        <f>RANK(I10,$I$9:$I$13)</f>
        <v>5</v>
      </c>
    </row>
    <row r="11" ht="15" spans="1:10">
      <c r="A11" s="37" t="s">
        <v>13</v>
      </c>
      <c r="B11" s="37">
        <v>2.48</v>
      </c>
      <c r="C11" s="37">
        <v>4000000</v>
      </c>
      <c r="D11" s="37">
        <v>3</v>
      </c>
      <c r="F11" s="40">
        <f>$B$15/B11</f>
        <v>1</v>
      </c>
      <c r="G11" s="40">
        <f>C11/$C$15</f>
        <v>2.66666666666667</v>
      </c>
      <c r="H11" s="40">
        <f>D11/$D$15</f>
        <v>1</v>
      </c>
      <c r="I11" s="43">
        <f>F11*$B$5+G11*$C$5+H11*$D$5</f>
        <v>1.5</v>
      </c>
      <c r="J11" s="34">
        <f>RANK(I11,$I$9:$I$13)</f>
        <v>2</v>
      </c>
    </row>
    <row r="12" ht="15" spans="1:10">
      <c r="A12" s="37" t="s">
        <v>14</v>
      </c>
      <c r="B12" s="37">
        <v>3.24</v>
      </c>
      <c r="C12" s="37">
        <v>3200000</v>
      </c>
      <c r="D12" s="37">
        <v>2</v>
      </c>
      <c r="F12" s="40">
        <f>$B$15/B12</f>
        <v>0.765432098765432</v>
      </c>
      <c r="G12" s="40">
        <f>C12/$C$15</f>
        <v>2.13333333333333</v>
      </c>
      <c r="H12" s="40">
        <f>D12/$D$15</f>
        <v>0.666666666666667</v>
      </c>
      <c r="I12" s="43">
        <f>F12*$B$5+G12*$C$5+H12*$D$5</f>
        <v>1.14617283950617</v>
      </c>
      <c r="J12" s="34">
        <f>RANK(I12,$I$9:$I$13)</f>
        <v>4</v>
      </c>
    </row>
    <row r="13" ht="15" spans="1:10">
      <c r="A13" s="37" t="s">
        <v>15</v>
      </c>
      <c r="B13" s="37">
        <v>3</v>
      </c>
      <c r="C13" s="37">
        <v>5000000</v>
      </c>
      <c r="D13" s="37">
        <v>4</v>
      </c>
      <c r="F13" s="40">
        <f>$B$15/B13</f>
        <v>0.826666666666667</v>
      </c>
      <c r="G13" s="40">
        <f>C13/$C$15</f>
        <v>3.33333333333333</v>
      </c>
      <c r="H13" s="40">
        <f>D13/$D$15</f>
        <v>1.33333333333333</v>
      </c>
      <c r="I13" s="43">
        <f>F13*$B$5+G13*$C$5+H13*$D$5</f>
        <v>1.73066666666667</v>
      </c>
      <c r="J13" s="34">
        <f>RANK(I13,$I$9:$I$13)</f>
        <v>1</v>
      </c>
    </row>
    <row r="15" ht="15" spans="1:9">
      <c r="A15" s="34" t="s">
        <v>16</v>
      </c>
      <c r="B15" s="34">
        <f>MIN(B9:B11)</f>
        <v>2.48</v>
      </c>
      <c r="C15" s="34">
        <f>MIN(C9:C11)</f>
        <v>1500000</v>
      </c>
      <c r="D15" s="34">
        <f>MIN(D9:D11)</f>
        <v>3</v>
      </c>
      <c r="I15" s="36" t="s">
        <v>17</v>
      </c>
    </row>
    <row r="16" ht="15" spans="9:9">
      <c r="I16" s="44" t="str" cm="1">
        <f t="array" ref="I16">INDEX(A9:A13,MATCH(I17,I9:I13,FALSE),1)</f>
        <v>Tetta</v>
      </c>
    </row>
    <row r="17" spans="9:9">
      <c r="I17" s="34">
        <f>MAX(I9:I13)</f>
        <v>1.73066666666667</v>
      </c>
    </row>
  </sheetData>
  <mergeCells count="2">
    <mergeCell ref="F7:H7"/>
    <mergeCell ref="I7:I8"/>
  </mergeCells>
  <dataValidations count="1">
    <dataValidation type="list" allowBlank="1" showInputMessage="1" showErrorMessage="1" sqref="B4:E4">
      <formula1>"cost,benefit"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24"/>
  <sheetViews>
    <sheetView tabSelected="1" workbookViewId="0">
      <selection activeCell="J8" sqref="J8"/>
    </sheetView>
  </sheetViews>
  <sheetFormatPr defaultColWidth="12.6285714285714" defaultRowHeight="15.75" customHeight="1"/>
  <cols>
    <col min="2" max="2" width="18.5047619047619" customWidth="1"/>
    <col min="5" max="5" width="3.57142857142857" customWidth="1"/>
    <col min="6" max="6" width="13.5047619047619" customWidth="1"/>
    <col min="7" max="7" width="15.1333333333333" customWidth="1"/>
    <col min="9" max="9" width="3.42857142857143" customWidth="1"/>
    <col min="15" max="15" width="19" customWidth="1"/>
  </cols>
  <sheetData>
    <row r="1" ht="31" customHeight="1" spans="1:1">
      <c r="A1" s="1" t="s">
        <v>18</v>
      </c>
    </row>
    <row r="3" customHeight="1" spans="13:13">
      <c r="M3" s="21"/>
    </row>
    <row r="4" customHeight="1" spans="1:4">
      <c r="A4" s="2" t="s">
        <v>19</v>
      </c>
      <c r="B4" s="3"/>
      <c r="C4" s="3"/>
      <c r="D4" s="4"/>
    </row>
    <row r="5" customHeight="1" spans="1:17">
      <c r="A5" s="5" t="s">
        <v>20</v>
      </c>
      <c r="B5" s="5" t="s">
        <v>21</v>
      </c>
      <c r="C5" s="5" t="s">
        <v>22</v>
      </c>
      <c r="D5" s="5" t="s">
        <v>23</v>
      </c>
      <c r="E5" s="6"/>
      <c r="Q5" s="33" t="s">
        <v>24</v>
      </c>
    </row>
    <row r="6" customHeight="1" spans="1:5">
      <c r="A6" s="5" t="s">
        <v>25</v>
      </c>
      <c r="B6" s="7" t="s">
        <v>1</v>
      </c>
      <c r="C6" s="7">
        <v>0.4</v>
      </c>
      <c r="D6" s="7" t="s">
        <v>26</v>
      </c>
      <c r="E6" s="6"/>
    </row>
    <row r="7" customHeight="1" spans="1:5">
      <c r="A7" s="5" t="s">
        <v>27</v>
      </c>
      <c r="B7" s="7" t="s">
        <v>28</v>
      </c>
      <c r="C7" s="7">
        <v>0.3</v>
      </c>
      <c r="D7" s="7" t="s">
        <v>29</v>
      </c>
      <c r="E7" s="6"/>
    </row>
    <row r="8" customHeight="1" spans="1:5">
      <c r="A8" s="5" t="s">
        <v>30</v>
      </c>
      <c r="B8" s="7" t="s">
        <v>31</v>
      </c>
      <c r="C8" s="7">
        <v>0.3</v>
      </c>
      <c r="D8" s="7" t="s">
        <v>26</v>
      </c>
      <c r="E8" s="6"/>
    </row>
    <row r="9" customHeight="1" spans="10:10">
      <c r="J9" s="23"/>
    </row>
    <row r="10" customHeight="1" spans="1:4">
      <c r="A10" s="8" t="s">
        <v>32</v>
      </c>
      <c r="B10" s="9"/>
      <c r="C10" s="9"/>
      <c r="D10" s="10"/>
    </row>
    <row r="11" customHeight="1" spans="1:14">
      <c r="A11" s="11"/>
      <c r="B11" s="11" t="str">
        <f>A6</f>
        <v>C1</v>
      </c>
      <c r="C11" s="11" t="str">
        <f>A7</f>
        <v>C2</v>
      </c>
      <c r="D11" s="11" t="str">
        <f>A8</f>
        <v>C3</v>
      </c>
      <c r="F11" s="2" t="s">
        <v>33</v>
      </c>
      <c r="G11" s="3"/>
      <c r="H11" s="4"/>
      <c r="I11"/>
      <c r="J11" s="24" t="s">
        <v>34</v>
      </c>
      <c r="K11" s="3"/>
      <c r="L11" s="4"/>
      <c r="M11" s="25" t="s">
        <v>35</v>
      </c>
      <c r="N11" s="25" t="s">
        <v>36</v>
      </c>
    </row>
    <row r="12" customHeight="1" spans="1:14">
      <c r="A12" s="11" t="s">
        <v>37</v>
      </c>
      <c r="B12" s="11" t="str">
        <f>B6</f>
        <v>GPA</v>
      </c>
      <c r="C12" s="11" t="str">
        <f>B7</f>
        <v>Parent's Income</v>
      </c>
      <c r="D12" s="11" t="str">
        <f>B8</f>
        <v>Parent's Dependent</v>
      </c>
      <c r="F12" s="12" t="str">
        <f>B11</f>
        <v>C1</v>
      </c>
      <c r="G12" s="12" t="str">
        <f>C11</f>
        <v>C2</v>
      </c>
      <c r="H12" s="12" t="str">
        <f>D11</f>
        <v>C3</v>
      </c>
      <c r="J12" s="26" t="str">
        <f>B11</f>
        <v>C1</v>
      </c>
      <c r="K12" s="26" t="str">
        <f>C11</f>
        <v>C2</v>
      </c>
      <c r="L12" s="26" t="str">
        <f>D11</f>
        <v>C3</v>
      </c>
      <c r="M12" s="17"/>
      <c r="N12" s="17"/>
    </row>
    <row r="13" customHeight="1" spans="1:14">
      <c r="A13" s="13" t="s">
        <v>11</v>
      </c>
      <c r="B13" s="14">
        <v>3.82</v>
      </c>
      <c r="C13" s="15">
        <v>2500000</v>
      </c>
      <c r="D13" s="15">
        <v>4</v>
      </c>
      <c r="F13" s="16">
        <f t="shared" ref="F13:F17" si="0">B13/MAX($B$13:$B$17)</f>
        <v>0.955</v>
      </c>
      <c r="G13" s="16">
        <f t="shared" ref="G13:G17" si="1">MIN($C$13:$C$17)/C13</f>
        <v>0.6</v>
      </c>
      <c r="H13" s="16">
        <f t="shared" ref="H13:H17" si="2">D13/MAX($D$13:$D$17)</f>
        <v>1</v>
      </c>
      <c r="J13" s="27">
        <f t="shared" ref="J13:J17" si="3">F13*C$6</f>
        <v>0.382</v>
      </c>
      <c r="K13" s="28">
        <f t="shared" ref="K13:K17" si="4">G13*C$7</f>
        <v>0.18</v>
      </c>
      <c r="L13" s="27">
        <f t="shared" ref="L13:L17" si="5">H13*C$8</f>
        <v>0.3</v>
      </c>
      <c r="M13" s="16">
        <f t="shared" ref="M13:M17" si="6">J13+K13+L13</f>
        <v>0.862</v>
      </c>
      <c r="N13" s="29">
        <f>RANK(M13,$M$13:$M$17)</f>
        <v>2</v>
      </c>
    </row>
    <row r="14" customHeight="1" spans="1:14">
      <c r="A14" s="13" t="s">
        <v>12</v>
      </c>
      <c r="B14" s="14">
        <v>4</v>
      </c>
      <c r="C14" s="15">
        <v>1500000</v>
      </c>
      <c r="D14" s="15">
        <v>3</v>
      </c>
      <c r="F14" s="16">
        <f t="shared" si="0"/>
        <v>1</v>
      </c>
      <c r="G14" s="16">
        <f t="shared" si="1"/>
        <v>1</v>
      </c>
      <c r="H14" s="16">
        <f t="shared" si="2"/>
        <v>0.75</v>
      </c>
      <c r="J14" s="27">
        <f t="shared" si="3"/>
        <v>0.4</v>
      </c>
      <c r="K14" s="27">
        <f t="shared" si="4"/>
        <v>0.3</v>
      </c>
      <c r="L14" s="28">
        <f t="shared" si="5"/>
        <v>0.225</v>
      </c>
      <c r="M14" s="16">
        <f t="shared" si="6"/>
        <v>0.925</v>
      </c>
      <c r="N14" s="29">
        <f t="shared" ref="N13:N17" si="7">RANK(M14,$M$13:$M$17)</f>
        <v>1</v>
      </c>
    </row>
    <row r="15" customHeight="1" spans="1:14">
      <c r="A15" s="13" t="s">
        <v>13</v>
      </c>
      <c r="B15" s="14">
        <v>2.48</v>
      </c>
      <c r="C15" s="15">
        <v>4000000</v>
      </c>
      <c r="D15" s="15">
        <v>3</v>
      </c>
      <c r="F15" s="17">
        <f t="shared" si="0"/>
        <v>0.62</v>
      </c>
      <c r="G15" s="16">
        <f t="shared" si="1"/>
        <v>0.375</v>
      </c>
      <c r="H15" s="16">
        <f t="shared" si="2"/>
        <v>0.75</v>
      </c>
      <c r="J15" s="27">
        <f t="shared" si="3"/>
        <v>0.248</v>
      </c>
      <c r="K15" s="27">
        <f t="shared" si="4"/>
        <v>0.1125</v>
      </c>
      <c r="L15" s="27">
        <f t="shared" si="5"/>
        <v>0.225</v>
      </c>
      <c r="M15" s="16">
        <f t="shared" si="6"/>
        <v>0.5855</v>
      </c>
      <c r="N15" s="29">
        <f t="shared" si="7"/>
        <v>5</v>
      </c>
    </row>
    <row r="16" customHeight="1" spans="1:14">
      <c r="A16" s="13" t="s">
        <v>14</v>
      </c>
      <c r="B16" s="14">
        <v>3.24</v>
      </c>
      <c r="C16" s="15">
        <v>3200000</v>
      </c>
      <c r="D16" s="15">
        <v>2</v>
      </c>
      <c r="F16" s="17">
        <f t="shared" si="0"/>
        <v>0.81</v>
      </c>
      <c r="G16" s="16">
        <f t="shared" si="1"/>
        <v>0.46875</v>
      </c>
      <c r="H16" s="16">
        <f t="shared" si="2"/>
        <v>0.5</v>
      </c>
      <c r="J16" s="27">
        <f t="shared" si="3"/>
        <v>0.324</v>
      </c>
      <c r="K16" s="27">
        <f t="shared" si="4"/>
        <v>0.140625</v>
      </c>
      <c r="L16" s="27">
        <f t="shared" si="5"/>
        <v>0.15</v>
      </c>
      <c r="M16" s="16">
        <f t="shared" si="6"/>
        <v>0.614625</v>
      </c>
      <c r="N16" s="29">
        <f t="shared" si="7"/>
        <v>4</v>
      </c>
    </row>
    <row r="17" customHeight="1" spans="1:14">
      <c r="A17" s="13" t="s">
        <v>15</v>
      </c>
      <c r="B17" s="14">
        <v>4</v>
      </c>
      <c r="C17" s="15">
        <v>5000000</v>
      </c>
      <c r="D17" s="15">
        <v>4</v>
      </c>
      <c r="F17" s="16">
        <f t="shared" si="0"/>
        <v>1</v>
      </c>
      <c r="G17" s="16">
        <f t="shared" si="1"/>
        <v>0.3</v>
      </c>
      <c r="H17" s="16">
        <f t="shared" si="2"/>
        <v>1</v>
      </c>
      <c r="J17" s="27">
        <f t="shared" si="3"/>
        <v>0.4</v>
      </c>
      <c r="K17" s="28">
        <f t="shared" si="4"/>
        <v>0.09</v>
      </c>
      <c r="L17" s="27">
        <f t="shared" si="5"/>
        <v>0.3</v>
      </c>
      <c r="M17" s="16">
        <f t="shared" si="6"/>
        <v>0.79</v>
      </c>
      <c r="N17" s="29">
        <f t="shared" si="7"/>
        <v>3</v>
      </c>
    </row>
    <row r="18" customHeight="1" spans="1:14">
      <c r="A18" s="18"/>
      <c r="B18" s="19"/>
      <c r="C18" s="20"/>
      <c r="D18" s="20"/>
      <c r="F18" s="21"/>
      <c r="G18" s="21"/>
      <c r="H18" s="21"/>
      <c r="I18"/>
      <c r="J18" s="30"/>
      <c r="K18" s="31"/>
      <c r="L18" s="30"/>
      <c r="M18" s="21"/>
      <c r="N18" s="32"/>
    </row>
    <row r="19" customHeight="1" spans="12:15">
      <c r="L19" s="33" t="s">
        <v>38</v>
      </c>
      <c r="M19" s="21">
        <f>MAX(B13:B17)</f>
        <v>4</v>
      </c>
      <c r="N19" s="23">
        <f>MIN(C13:C17)</f>
        <v>1500000</v>
      </c>
      <c r="O19" s="23">
        <f>MAX(D13:D17)</f>
        <v>4</v>
      </c>
    </row>
    <row r="20" customHeight="1" spans="1:1">
      <c r="A20" s="22"/>
    </row>
    <row r="24" customHeight="1" spans="14:14">
      <c r="N24" s="22"/>
    </row>
  </sheetData>
  <mergeCells count="4">
    <mergeCell ref="A4:D4"/>
    <mergeCell ref="A10:D10"/>
    <mergeCell ref="F11:H11"/>
    <mergeCell ref="J11:L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CPI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google1585754815</cp:lastModifiedBy>
  <dcterms:created xsi:type="dcterms:W3CDTF">2025-11-06T07:37:00Z</dcterms:created>
  <dcterms:modified xsi:type="dcterms:W3CDTF">2025-12-19T02:05:33Z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BE5D7EE243524B3A9C80B0E40DC1FCD5_12</vt:lpwstr>
  </property>
  <property fmtid="{D5CDD505-2E9C-101B-9397-08002B2CF9AE}" pid="3" name="KSOProductBuildVer">
    <vt:lpwstr>1033-12.2.0.23155</vt:lpwstr>
  </property>
</Properties>
</file>