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7.xml.rels" ContentType="application/vnd.openxmlformats-package.relationships+xml"/>
  <Override PartName="/xl/worksheets/_rels/sheet16.xml.rels" ContentType="application/vnd.openxmlformats-package.relationships+xml"/>
  <Override PartName="/xl/worksheets/_rels/sheet17.xml.rels" ContentType="application/vnd.openxmlformats-package.relationships+xml"/>
  <Override PartName="/xl/worksheets/_rels/sheet18.xml.rels" ContentType="application/vnd.openxmlformats-package.relationships+xml"/>
  <Override PartName="/xl/worksheets/_rels/sheet20.xml.rels" ContentType="application/vnd.openxmlformats-package.relationships+xml"/>
  <Override PartName="/xl/worksheets/_rels/sheet19.xml.rels" ContentType="application/vnd.openxmlformats-package.relationships+xml"/>
  <Override PartName="/xl/worksheets/_rels/sheet21.xml.rels" ContentType="application/vnd.openxmlformats-package.relationships+xml"/>
  <Override PartName="/xl/worksheets/_rels/sheet9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11.xml.rels" ContentType="application/vnd.openxmlformats-package.relationships+xml"/>
  <Override PartName="/xl/worksheets/_rels/sheet24.xml.rels" ContentType="application/vnd.openxmlformats-package.relationships+xml"/>
  <Override PartName="/xl/worksheets/_rels/sheet6.xml.rels" ContentType="application/vnd.openxmlformats-package.relationships+xml"/>
  <Override PartName="/xl/worksheets/_rels/sheet14.xml.rels" ContentType="application/vnd.openxmlformats-package.relationships+xml"/>
  <Override PartName="/xl/worksheets/_rels/sheet3.xml.rels" ContentType="application/vnd.openxmlformats-package.relationships+xml"/>
  <Override PartName="/xl/worksheets/_rels/sheet22.xml.rels" ContentType="application/vnd.openxmlformats-package.relationships+xml"/>
  <Override PartName="/xl/worksheets/_rels/sheet2.xml.rels" ContentType="application/vnd.openxmlformats-package.relationships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7.xml" ContentType="application/vnd.openxmlformats-officedocument.drawing+xml"/>
  <Override PartName="/xl/drawings/drawing10.xml" ContentType="application/vnd.openxmlformats-officedocument.drawing+xml"/>
  <Override PartName="/xl/drawings/drawing5.xml" ContentType="application/vnd.openxmlformats-officedocument.drawing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22.xml" ContentType="application/vnd.openxmlformats-officedocument.drawing+xml"/>
  <Override PartName="/xl/drawings/_rels/drawing22.xml.rels" ContentType="application/vnd.openxmlformats-package.relationships+xml"/>
  <Override PartName="/xl/drawings/_rels/drawing1.xml.rels" ContentType="application/vnd.openxmlformats-package.relationships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.xml" ContentType="application/vnd.openxmlformats-officedocument.drawing+xml"/>
  <Override PartName="/xl/drawings/drawing20.xml" ContentType="application/vnd.openxmlformats-officedocument.drawing+xml"/>
  <Override PartName="/xl/drawings/drawing18.xml" ContentType="application/vnd.openxmlformats-officedocument.drawing+xml"/>
  <Override PartName="/xl/drawings/drawing17.xml" ContentType="application/vnd.openxmlformats-officedocument.drawing+xml"/>
  <Override PartName="/xl/drawings/drawing16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13.xml" ContentType="application/vnd.openxmlformats-officedocument.drawing+xml"/>
  <Override PartName="/xl/drawings/vmlDrawing1.vml" ContentType="application/vnd.openxmlformats-officedocument.vmlDrawing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Version" sheetId="1" state="visible" r:id="rId2"/>
    <sheet name="Summary" sheetId="2" state="visible" r:id="rId3"/>
    <sheet name="In1" sheetId="3" state="visible" r:id="rId4"/>
    <sheet name="In2" sheetId="4" state="visible" r:id="rId5"/>
    <sheet name="In3" sheetId="5" state="visible" r:id="rId6"/>
    <sheet name="In4" sheetId="6" state="visible" r:id="rId7"/>
    <sheet name="In5" sheetId="7" state="visible" r:id="rId8"/>
    <sheet name="In6" sheetId="8" state="visible" r:id="rId9"/>
    <sheet name="In7" sheetId="9" state="visible" r:id="rId10"/>
    <sheet name="In8" sheetId="10" state="visible" r:id="rId11"/>
    <sheet name="In9" sheetId="11" state="visible" r:id="rId12"/>
    <sheet name="In10" sheetId="12" state="visible" r:id="rId13"/>
    <sheet name="In11" sheetId="13" state="visible" r:id="rId14"/>
    <sheet name="In12" sheetId="14" state="visible" r:id="rId15"/>
    <sheet name="In13" sheetId="15" state="visible" r:id="rId16"/>
    <sheet name="In14" sheetId="16" state="visible" r:id="rId17"/>
    <sheet name="In15" sheetId="17" state="visible" r:id="rId18"/>
    <sheet name="In16" sheetId="18" state="visible" r:id="rId19"/>
    <sheet name="In17" sheetId="19" state="visible" r:id="rId20"/>
    <sheet name="In18" sheetId="20" state="visible" r:id="rId21"/>
    <sheet name="In19" sheetId="21" state="visible" r:id="rId22"/>
    <sheet name="In20" sheetId="22" state="visible" r:id="rId23"/>
    <sheet name="multInp" sheetId="23" state="visible" r:id="rId24"/>
    <sheet name="10x10" sheetId="24" state="visible" r:id="rId25"/>
  </sheets>
  <definedNames>
    <definedName function="false" hidden="false" localSheetId="2" name="_xlnm.Print_Area" vbProcedure="false">In1!$A$1:$P$73</definedName>
    <definedName function="false" hidden="false" localSheetId="11" name="_xlnm.Print_Area" vbProcedure="false">In10!$A$1:$O$73</definedName>
    <definedName function="false" hidden="false" localSheetId="12" name="_xlnm.Print_Area" vbProcedure="false">In11!$A$1:$O$73</definedName>
    <definedName function="false" hidden="false" localSheetId="13" name="_xlnm.Print_Area" vbProcedure="false">In12!$A$1:$O$73</definedName>
    <definedName function="false" hidden="false" localSheetId="14" name="_xlnm.Print_Area" vbProcedure="false">In13!$A$1:$O$73</definedName>
    <definedName function="false" hidden="false" localSheetId="15" name="_xlnm.Print_Area" vbProcedure="false">In14!$A$1:$O$73</definedName>
    <definedName function="false" hidden="false" localSheetId="16" name="_xlnm.Print_Area" vbProcedure="false">In15!$A$1:$O$73</definedName>
    <definedName function="false" hidden="false" localSheetId="17" name="_xlnm.Print_Area" vbProcedure="false">In16!$A$1:$O$73</definedName>
    <definedName function="false" hidden="false" localSheetId="18" name="_xlnm.Print_Area" vbProcedure="false">In17!$A$1:$O$73</definedName>
    <definedName function="false" hidden="false" localSheetId="19" name="_xlnm.Print_Area" vbProcedure="false">In18!$A$1:$O$73</definedName>
    <definedName function="false" hidden="false" localSheetId="20" name="_xlnm.Print_Area" vbProcedure="false">In19!$A$1:$O$73</definedName>
    <definedName function="false" hidden="false" localSheetId="3" name="_xlnm.Print_Area" vbProcedure="false">In2!$A$1:$O$73</definedName>
    <definedName function="false" hidden="false" localSheetId="21" name="_xlnm.Print_Area" vbProcedure="false">In20!$A$1:$O$73</definedName>
    <definedName function="false" hidden="false" localSheetId="4" name="_xlnm.Print_Area" vbProcedure="false">In3!$A$1:$O$73</definedName>
    <definedName function="false" hidden="false" localSheetId="5" name="_xlnm.Print_Area" vbProcedure="false">In4!$A$1:$O$73</definedName>
    <definedName function="false" hidden="false" localSheetId="6" name="_xlnm.Print_Area" vbProcedure="false">In5!$A$1:$O$73</definedName>
    <definedName function="false" hidden="false" localSheetId="7" name="_xlnm.Print_Area" vbProcedure="false">In6!$A$1:$O$73</definedName>
    <definedName function="false" hidden="false" localSheetId="8" name="_xlnm.Print_Area" vbProcedure="false">In7!$A$1:$O$73</definedName>
    <definedName function="false" hidden="false" localSheetId="9" name="_xlnm.Print_Area" vbProcedure="false">In8!$A$1:$O$73</definedName>
    <definedName function="false" hidden="false" localSheetId="10" name="_xlnm.Print_Area" vbProcedure="false">In9!$A$1:$O$73</definedName>
    <definedName function="false" hidden="false" localSheetId="22" name="_xlnm.Print_Area" vbProcedure="false">multInp!$A$1:$V$83</definedName>
    <definedName function="false" hidden="false" localSheetId="1" name="_xlnm.Print_Area" vbProcedure="false">Summary!$A$1:$P$47</definedName>
    <definedName function="false" hidden="false" name="check" vbProcedure="false">10x10!$B$39</definedName>
    <definedName function="false" hidden="false" name="consMat" vbProcedure="false">Summary!$C$38:$L$47</definedName>
    <definedName function="false" hidden="false" name="EV_20" vbProcedure="false">10x10!$AG$28:$AG$37</definedName>
    <definedName function="false" hidden="false" name="Matrix1" vbProcedure="false">In1!$C$79:$L$88</definedName>
    <definedName function="false" hidden="false" name="Matrix10" vbProcedure="false">In10!$C$79:$L$88</definedName>
    <definedName function="false" hidden="false" name="Matrix11" vbProcedure="false">In11!$C$79:$L$88</definedName>
    <definedName function="false" hidden="false" name="Matrix12" vbProcedure="false">In12!$C$79:$L$88</definedName>
    <definedName function="false" hidden="false" name="Matrix13" vbProcedure="false">In13!$C$79:$L$88</definedName>
    <definedName function="false" hidden="false" name="Matrix14" vbProcedure="false">In14!$C$79:$L$88</definedName>
    <definedName function="false" hidden="false" name="Matrix15" vbProcedure="false">In15!$C$79:$L$88</definedName>
    <definedName function="false" hidden="false" name="Matrix16" vbProcedure="false">In16!$C$79:$L$88</definedName>
    <definedName function="false" hidden="false" name="Matrix17" vbProcedure="false">In17!$C$79:$L$88</definedName>
    <definedName function="false" hidden="false" name="Matrix18" vbProcedure="false">In18!$C$79:$L$88</definedName>
    <definedName function="false" hidden="false" name="Matrix19" vbProcedure="false">In19!$C$79:$L$88</definedName>
    <definedName function="false" hidden="false" name="Matrix2" vbProcedure="false">In2!$C$79:$L$88</definedName>
    <definedName function="false" hidden="false" name="Matrix20" vbProcedure="false">In20!$C$79:$L$88</definedName>
    <definedName function="false" hidden="false" name="Matrix3" vbProcedure="false">In3!$C$79:$L$88</definedName>
    <definedName function="false" hidden="false" name="Matrix4" vbProcedure="false">In4!$C$79:$L$88</definedName>
    <definedName function="false" hidden="false" name="Matrix5" vbProcedure="false">In5!$C$79:$L$88</definedName>
    <definedName function="false" hidden="false" name="Matrix6" vbProcedure="false">In6!$C$79:$L$88</definedName>
    <definedName function="false" hidden="false" name="Matrix7" vbProcedure="false">In7!$C$79:$L$88</definedName>
    <definedName function="false" hidden="false" name="Matrix8" vbProcedure="false">In8!$C$79:$L$88</definedName>
    <definedName function="false" hidden="false" name="Matrix9" vbProcedure="false">In9!$C$79:$L$88</definedName>
    <definedName function="false" hidden="false" name="m_p0" vbProcedure="false">multInp!$B$9:$K$18</definedName>
    <definedName function="false" hidden="false" name="m_p1" vbProcedure="false">multInp!$M$9:$V$18</definedName>
    <definedName function="false" hidden="false" name="m_p10" vbProcedure="false">multInp!$B$74:$K$83</definedName>
    <definedName function="false" hidden="false" name="m_p11" vbProcedure="false">multInp!$M$74:$V$83</definedName>
    <definedName function="false" hidden="false" name="m_p12" vbProcedure="false">multInp!$B$87:$K$96</definedName>
    <definedName function="false" hidden="false" name="m_p13" vbProcedure="false">multInp!$M$87:$V$96</definedName>
    <definedName function="false" hidden="false" name="m_p14" vbProcedure="false">multInp!$B$100:$K$109</definedName>
    <definedName function="false" hidden="false" name="m_p15" vbProcedure="false">multInp!$M$100:$V$109</definedName>
    <definedName function="false" hidden="false" name="m_p16" vbProcedure="false">multInp!$B$113:$K$122</definedName>
    <definedName function="false" hidden="false" name="m_p17" vbProcedure="false">multInp!$M$113:$V$122</definedName>
    <definedName function="false" hidden="false" name="m_p18" vbProcedure="false">multInp!$B$126:$K$135</definedName>
    <definedName function="false" hidden="false" name="m_p19" vbProcedure="false">multInp!$M$126:$V$135</definedName>
    <definedName function="false" hidden="false" name="m_p2" vbProcedure="false">multInp!$B$22:$K$31</definedName>
    <definedName function="false" hidden="false" name="m_p20" vbProcedure="false">multInp!$B$139:$K$148</definedName>
    <definedName function="false" hidden="false" name="m_p3" vbProcedure="false">multInp!$M$22:$V$31</definedName>
    <definedName function="false" hidden="false" name="m_p4" vbProcedure="false">multInp!$B$35:$K$44</definedName>
    <definedName function="false" hidden="false" name="m_p5" vbProcedure="false">multInp!$M$35:$V$44</definedName>
    <definedName function="false" hidden="false" name="m_p6" vbProcedure="false">multInp!$B$48:$K$57</definedName>
    <definedName function="false" hidden="false" name="m_p7" vbProcedure="false">multInp!$M$48:$V$57</definedName>
    <definedName function="false" hidden="false" name="m_p8" vbProcedure="false">multInp!$B$61:$K$70</definedName>
    <definedName function="false" hidden="false" name="m_p9" vbProcedure="false">multInp!$M$61:$V$70</definedName>
    <definedName function="false" hidden="false" name="m_summary" vbProcedure="false">Summary!$C$38:$J$45</definedName>
    <definedName function="false" hidden="false" name="p_sel" vbProcedure="false">Summary!$B$9</definedName>
    <definedName function="false" hidden="false" name="RGGM1" vbProcedure="false">In1!$N$91:$N$100</definedName>
    <definedName function="false" hidden="false" name="RGGM10" vbProcedure="false">In10!$N$91:$N$100</definedName>
    <definedName function="false" hidden="false" name="RGGM11" vbProcedure="false">In11!$N$91:$N$100</definedName>
    <definedName function="false" hidden="false" name="RGGM12" vbProcedure="false">In12!$N$91:$N$100</definedName>
    <definedName function="false" hidden="false" name="RGGM13" vbProcedure="false">In13!$N$91:$N$100</definedName>
    <definedName function="false" hidden="false" name="RGGM14" vbProcedure="false">In14!$N$91:$N$100</definedName>
    <definedName function="false" hidden="false" name="RGGM15" vbProcedure="false">In15!$N$91:$N$100</definedName>
    <definedName function="false" hidden="false" name="RGGM16" vbProcedure="false">In16!$N$91:$N$100</definedName>
    <definedName function="false" hidden="false" name="RGGM17" vbProcedure="false">In17!$N$91:$N$100</definedName>
    <definedName function="false" hidden="false" name="RGGM18" vbProcedure="false">In18!$N$91:$N$100</definedName>
    <definedName function="false" hidden="false" name="RGGM19" vbProcedure="false">In19!$N$91:$N$100</definedName>
    <definedName function="false" hidden="false" name="RGGM2" vbProcedure="false">In2!$N$91:$N$100</definedName>
    <definedName function="false" hidden="false" name="RGGM20" vbProcedure="false">In20!$N$91:$N$100</definedName>
    <definedName function="false" hidden="false" name="RGGM3" vbProcedure="false">In3!$N$91:$N$100</definedName>
    <definedName function="false" hidden="false" name="RGGM4" vbProcedure="false">In4!$N$91:$N$100</definedName>
    <definedName function="false" hidden="false" name="RGGM5" vbProcedure="false">In5!$N$91:$N$100</definedName>
    <definedName function="false" hidden="false" name="RGGM6" vbProcedure="false">In6!$N$91:$N$100</definedName>
    <definedName function="false" hidden="false" name="RGGM7" vbProcedure="false">In7!$N$91:$N$100</definedName>
    <definedName function="false" hidden="false" name="RGGM8" vbProcedure="false">In8!$N$91:$N$100</definedName>
    <definedName function="false" hidden="false" name="RGGM9" vbProcedure="false">In9!$N$91:$N$100</definedName>
    <definedName function="false" hidden="false" name="RGMM11" vbProcedure="false">In11!$N$91:$N$100</definedName>
    <definedName function="false" hidden="false" name="RGMM12" vbProcedure="false">In12!$N$91:$N$100</definedName>
    <definedName function="false" hidden="false" name="RGMM13" vbProcedure="false">In13!$N$91:$N$100</definedName>
    <definedName function="false" hidden="false" name="RGMM14" vbProcedure="false">In14!$N$91:$N$100</definedName>
    <definedName function="false" hidden="false" name="RGMM15" vbProcedure="false">In15!$N$91:$N$100</definedName>
    <definedName function="false" hidden="false" name="RGMM16" vbProcedure="false">In16!$N$91:$N$100</definedName>
    <definedName function="false" hidden="false" name="RGMM17" vbProcedure="false">In17!$N$91:$N$100</definedName>
    <definedName function="false" hidden="false" name="RGMM18" vbProcedure="false">In18!$N$91:$N$100</definedName>
    <definedName function="false" hidden="false" name="RGMM19" vbProcedure="false">In19!$N$91:$N$100</definedName>
    <definedName function="false" hidden="false" name="RGMM20" vbProcedure="false">In20!$N$91:$N$100</definedName>
    <definedName function="false" hidden="false" localSheetId="22" name="w_p1" vbProcedure="false">multInp!$AO$7</definedName>
    <definedName function="false" hidden="false" localSheetId="22" name="w_p10" vbProcedure="false">multInp!$AD$72</definedName>
    <definedName function="false" hidden="false" localSheetId="22" name="w_p11" vbProcedure="false">multInp!$AO$72</definedName>
    <definedName function="false" hidden="false" localSheetId="22" name="w_p12" vbProcedure="false">multInp!$AD$85</definedName>
    <definedName function="false" hidden="false" localSheetId="22" name="w_p13" vbProcedure="false">multInp!$AO$85</definedName>
    <definedName function="false" hidden="false" localSheetId="22" name="w_p14" vbProcedure="false">multInp!$AD$98</definedName>
    <definedName function="false" hidden="false" localSheetId="22" name="w_p15" vbProcedure="false">multInp!$AO$98</definedName>
    <definedName function="false" hidden="false" localSheetId="22" name="w_p16" vbProcedure="false">multInp!$AD$111</definedName>
    <definedName function="false" hidden="false" localSheetId="22" name="w_p17" vbProcedure="false">multInp!$AO$111</definedName>
    <definedName function="false" hidden="false" localSheetId="22" name="w_p18" vbProcedure="false">multInp!$AD$124</definedName>
    <definedName function="false" hidden="false" localSheetId="22" name="w_p19" vbProcedure="false">multInp!$AO$124</definedName>
    <definedName function="false" hidden="false" localSheetId="22" name="w_p2" vbProcedure="false">multInp!$AD$20</definedName>
    <definedName function="false" hidden="false" localSheetId="22" name="w_p20" vbProcedure="false">multInp!$AD$137</definedName>
    <definedName function="false" hidden="false" localSheetId="22" name="w_p3" vbProcedure="false">multInp!$AO$20</definedName>
    <definedName function="false" hidden="false" localSheetId="22" name="w_p4" vbProcedure="false">multInp!$AD$33</definedName>
    <definedName function="false" hidden="false" localSheetId="22" name="w_p5" vbProcedure="false">multInp!$AO$33</definedName>
    <definedName function="false" hidden="false" localSheetId="22" name="w_p6" vbProcedure="false">multInp!$AD$46</definedName>
    <definedName function="false" hidden="false" localSheetId="22" name="w_p7" vbProcedure="false">multInp!$AO$46</definedName>
    <definedName function="false" hidden="false" localSheetId="22" name="w_p8" vbProcedure="false">multInp!$AD$59</definedName>
    <definedName function="false" hidden="false" localSheetId="22" name="w_p9" vbProcedure="false">multInp!$AO$59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J32" authorId="0">
      <text>
        <r>
          <rPr>
            <sz val="10"/>
            <rFont val="Arial"/>
            <family val="0"/>
            <charset val="1"/>
          </rPr>
          <t xml:space="preserve">Ordinal
</t>
        </r>
        <r>
          <rPr>
            <sz val="10"/>
            <color rgb="FF000000"/>
            <rFont val="Tahoma"/>
            <family val="2"/>
            <charset val="1"/>
          </rPr>
          <t xml:space="preserve">Inconsistency</t>
        </r>
      </text>
    </comment>
    <comment ref="O30" authorId="0">
      <text>
        <r>
          <rPr>
            <sz val="10"/>
            <rFont val="Arial"/>
            <family val="0"/>
            <charset val="1"/>
          </rPr>
          <t xml:space="preserve">Mean relative 
</t>
        </r>
        <r>
          <rPr>
            <sz val="10"/>
            <color rgb="FF000000"/>
            <rFont val="Tahoma"/>
            <family val="2"/>
            <charset val="1"/>
          </rPr>
          <t xml:space="preserve">error</t>
        </r>
      </text>
    </comment>
    <comment ref="P17" authorId="0">
      <text>
        <r>
          <rPr>
            <sz val="10"/>
            <rFont val="Arial"/>
            <family val="0"/>
            <charset val="1"/>
          </rPr>
          <t xml:space="preserve">Absolute 
</t>
        </r>
        <r>
          <rPr>
            <sz val="10"/>
            <color rgb="FF000000"/>
            <rFont val="Tahoma"/>
            <family val="2"/>
            <charset val="1"/>
          </rPr>
          <t xml:space="preserve">errors</t>
        </r>
      </text>
    </comment>
  </commentList>
</comments>
</file>

<file path=xl/sharedStrings.xml><?xml version="1.0" encoding="utf-8"?>
<sst xmlns="http://schemas.openxmlformats.org/spreadsheetml/2006/main" count="1177" uniqueCount="194">
  <si>
    <t xml:space="preserve">This work is licensed under the Creative Commons Attribution-Noncommercial
3.0 Singapore License. </t>
  </si>
  <si>
    <t xml:space="preserve">(You need to give credit to the author)</t>
  </si>
  <si>
    <t xml:space="preserve">To view a copy of this license, visit </t>
  </si>
  <si>
    <t xml:space="preserve">http://creativecommons.org/licenses/by-nc/3.0/sg/ </t>
  </si>
  <si>
    <t xml:space="preserve">or send a letter to Creative Commons, </t>
  </si>
  <si>
    <t xml:space="preserve">171 Second Street, Suite 300, San Francisco, California, 94105, USA.</t>
  </si>
  <si>
    <t xml:space="preserve">Author:</t>
  </si>
  <si>
    <t xml:space="preserve">Klaus D. Goepel</t>
  </si>
  <si>
    <t xml:space="preserve">https://bpmsg.com</t>
  </si>
  <si>
    <t xml:space="preserve">Revisions</t>
  </si>
  <si>
    <t xml:space="preserve">Date</t>
  </si>
  <si>
    <t xml:space="preserve">Comment</t>
  </si>
  <si>
    <r>
      <rPr>
        <sz val="10"/>
        <rFont val="Arial"/>
        <family val="2"/>
        <charset val="1"/>
      </rPr>
      <t xml:space="preserve">1st draft based on AHPcalc vers </t>
    </r>
    <r>
      <rPr>
        <b val="true"/>
        <sz val="10"/>
        <rFont val="Arial"/>
        <family val="2"/>
        <charset val="1"/>
      </rPr>
      <t xml:space="preserve">27.8.11</t>
    </r>
    <r>
      <rPr>
        <sz val="10"/>
        <rFont val="Arial"/>
        <family val="2"/>
        <charset val="1"/>
      </rPr>
      <t xml:space="preserve"> (single input);
allows input from max. 7 participants</t>
    </r>
  </si>
  <si>
    <t xml:space="preserve">added selection of participants (p), "0"= consolidated</t>
  </si>
  <si>
    <t xml:space="preserve">correction in sheet 8x8 to select CR depending on the number of criteria n</t>
  </si>
  <si>
    <t xml:space="preserve">some minor corrections in the input sheets</t>
  </si>
  <si>
    <t xml:space="preserve">16.10.2012
relaeased</t>
  </si>
  <si>
    <t xml:space="preserve">Correction to select the result of individual participants in the summary sheet. Result was not correct selecting p =4 to 7. (Thanks for feedback from Pascal)</t>
  </si>
  <si>
    <t xml:space="preserve">11.12.2012
released</t>
  </si>
  <si>
    <r>
      <rPr>
        <sz val="10"/>
        <rFont val="Arial"/>
        <family val="2"/>
        <charset val="1"/>
      </rPr>
      <t xml:space="preserve">Algorithm of Power Method to solve Eigenvalue was modified (new sheet 8x8) </t>
    </r>
    <r>
      <rPr>
        <b val="true"/>
        <sz val="10"/>
        <rFont val="Arial"/>
        <family val="2"/>
        <charset val="1"/>
      </rPr>
      <t xml:space="preserve">resulting in much higher accuracy</t>
    </r>
    <r>
      <rPr>
        <sz val="10"/>
        <rFont val="Arial"/>
        <family val="2"/>
        <charset val="1"/>
      </rPr>
      <t xml:space="preserve">. By default 12 iterations</t>
    </r>
  </si>
  <si>
    <r>
      <rPr>
        <sz val="10"/>
        <rFont val="Arial"/>
        <family val="2"/>
        <charset val="1"/>
      </rPr>
      <t xml:space="preserve">B9 named p_sel
result matrix in summary: IF replaced by CHOOSE function
Input sheets: col 1 and 2 show indices i,j
</t>
    </r>
    <r>
      <rPr>
        <b val="true"/>
        <sz val="10"/>
        <rFont val="Arial"/>
        <family val="2"/>
        <charset val="1"/>
      </rPr>
      <t xml:space="preserve">Consistency evaluation added</t>
    </r>
  </si>
  <si>
    <r>
      <rPr>
        <sz val="10"/>
        <rFont val="Arial"/>
        <family val="2"/>
        <charset val="1"/>
      </rPr>
      <t xml:space="preserve">extension of input sheets to </t>
    </r>
    <r>
      <rPr>
        <b val="true"/>
        <sz val="10"/>
        <rFont val="Arial"/>
        <family val="2"/>
        <charset val="1"/>
      </rPr>
      <t xml:space="preserve">10 criteria and 10 participants</t>
    </r>
  </si>
  <si>
    <t xml:space="preserve">Sheet "Tables" added, alternative scales included,
Alonso CR included
CR calculation moved from 10x10 to Summary</t>
  </si>
  <si>
    <t xml:space="preserve">Added RGMM in input sheets - consistency calculated in each input sheet</t>
  </si>
  <si>
    <t xml:space="preserve">Consensus Index added (Shannon Entropy)</t>
  </si>
  <si>
    <t xml:space="preserve">08.02.2013
released</t>
  </si>
  <si>
    <t xml:space="preserve">final tests </t>
  </si>
  <si>
    <t xml:space="preserve">corrected formatting problem of weights in summary sheet</t>
  </si>
  <si>
    <r>
      <rPr>
        <sz val="10"/>
        <rFont val="Arial"/>
        <family val="2"/>
        <charset val="1"/>
      </rPr>
      <t xml:space="preserve">Introduced weights for individual participants (weighted geometric mean) in sheet multInp
Extend to </t>
    </r>
    <r>
      <rPr>
        <b val="true"/>
        <sz val="10"/>
        <rFont val="Arial"/>
        <family val="2"/>
        <charset val="1"/>
      </rPr>
      <t xml:space="preserve">20 participants</t>
    </r>
  </si>
  <si>
    <t xml:space="preserve">Consensus calculation in sheet Summary adapted to 20 participants, calculation of CR in summary sheet using Alonso. </t>
  </si>
  <si>
    <t xml:space="preserve">In4 cell K17 was not referring to alpha in summary sheet,
cell F17 (weight of individual participants) was partly locked in input sheets</t>
  </si>
  <si>
    <t xml:space="preserve">Values for different scales are calculated in the input sheets. Input sheets allow decimal figure instead of 1-9 integer. Sheet "tables" deleted</t>
  </si>
  <si>
    <r>
      <rPr>
        <sz val="10"/>
        <rFont val="Arial"/>
        <family val="2"/>
        <charset val="1"/>
      </rPr>
      <t xml:space="preserve">For the 3 most inconsistent judgments </t>
    </r>
    <r>
      <rPr>
        <b val="true"/>
        <sz val="10"/>
        <rFont val="Arial"/>
        <family val="2"/>
        <charset val="1"/>
      </rPr>
      <t xml:space="preserve">the ideal judgment</t>
    </r>
    <r>
      <rPr>
        <sz val="10"/>
        <rFont val="Arial"/>
        <family val="2"/>
        <charset val="1"/>
      </rPr>
      <t xml:space="preserve"> resulting in lowest inconsistency is displayed</t>
    </r>
  </si>
  <si>
    <t xml:space="preserve">Change of check for convergence of power method</t>
  </si>
  <si>
    <t xml:space="preserve">corrected wrong ref in multInp (Matrix13)</t>
  </si>
  <si>
    <t xml:space="preserve">changed name of consol. Matrix from MatrixC to m_p0
CHOOSE in Summary sheet now p_sel+1 and m_p0 included (IF cond removed)
changed the min of 3 to 2 criteria</t>
  </si>
  <si>
    <t xml:space="preserve">correction for 2 criteria: sheet 10x10 Cell M41 limit to 12
CGI in summary sheet to "n/a" for n=2, text (2 - 10)</t>
  </si>
  <si>
    <t xml:space="preserve">Corrected display of the selected scale in the summary sheet</t>
  </si>
  <si>
    <t xml:space="preserve">Corrected AHP consensus indicator (H gamma max)</t>
  </si>
  <si>
    <t xml:space="preserve">Balanced scale replaced by generalized balanced scale (Balanced-n), Added adaptive scale.
Power method max no of iterations increased from 12 to 20.</t>
  </si>
  <si>
    <t xml:space="preserve">Inconsistency matrix pi/pj limited between 1/9 and 9</t>
  </si>
  <si>
    <t xml:space="preserve">Error estimate for EV</t>
  </si>
  <si>
    <t xml:space="preserve">Error estimate for RGGM, Ordinal inconsistency Psi</t>
  </si>
  <si>
    <t xml:space="preserve">Corrected some fields for calculation of more than 8 criteria </t>
  </si>
  <si>
    <t xml:space="preserve">Corrected some fields on input sheet, runs under office libre now</t>
  </si>
  <si>
    <r>
      <rPr>
        <b val="true"/>
        <sz val="14"/>
        <rFont val="Arial"/>
        <family val="2"/>
        <charset val="1"/>
      </rPr>
      <t xml:space="preserve">AHP Analytic Hierarchy Process</t>
    </r>
    <r>
      <rPr>
        <b val="true"/>
        <sz val="10"/>
        <rFont val="Arial"/>
        <family val="2"/>
        <charset val="1"/>
      </rPr>
      <t xml:space="preserve"> (EVM multiple inputs)</t>
    </r>
  </si>
  <si>
    <r>
      <rPr>
        <sz val="10"/>
        <rFont val="Arial"/>
        <family val="2"/>
        <charset val="1"/>
      </rPr>
      <t xml:space="preserve">K. D. Goepel</t>
    </r>
    <r>
      <rPr>
        <sz val="10"/>
        <color rgb="FF1F497D"/>
        <rFont val="Arial"/>
        <family val="2"/>
        <charset val="1"/>
      </rPr>
      <t xml:space="preserve"> Version</t>
    </r>
    <r>
      <rPr>
        <b val="true"/>
        <sz val="10"/>
        <color rgb="FF1F497D"/>
        <rFont val="Arial"/>
        <family val="2"/>
        <charset val="1"/>
      </rPr>
      <t xml:space="preserve"> 07.07.2022</t>
    </r>
  </si>
  <si>
    <t xml:space="preserve">Free web based AHP software on:</t>
  </si>
  <si>
    <t xml:space="preserve">Only input data in the light green fields and worksheets!</t>
  </si>
  <si>
    <t xml:space="preserve">AHP 1-9</t>
  </si>
  <si>
    <t xml:space="preserve">Log</t>
  </si>
  <si>
    <t xml:space="preserve">Sqrt</t>
  </si>
  <si>
    <t xml:space="preserve">InvLin</t>
  </si>
  <si>
    <t xml:space="preserve">Bal-n</t>
  </si>
  <si>
    <t xml:space="preserve">Power</t>
  </si>
  <si>
    <t xml:space="preserve">Geom</t>
  </si>
  <si>
    <t xml:space="preserve">Adaptive</t>
  </si>
  <si>
    <t xml:space="preserve">n= </t>
  </si>
  <si>
    <t xml:space="preserve">Number of criteria (2 to 10)</t>
  </si>
  <si>
    <t xml:space="preserve">Scale:</t>
  </si>
  <si>
    <t xml:space="preserve">N= </t>
  </si>
  <si>
    <t xml:space="preserve">Number of Participants (1 to 20)</t>
  </si>
  <si>
    <r>
      <rPr>
        <i val="true"/>
        <sz val="10"/>
        <rFont val="Symbol"/>
        <family val="1"/>
        <charset val="2"/>
      </rPr>
      <t xml:space="preserve">a</t>
    </r>
    <r>
      <rPr>
        <i val="true"/>
        <sz val="10"/>
        <rFont val="Arial"/>
        <family val="2"/>
        <charset val="1"/>
      </rPr>
      <t xml:space="preserve">:</t>
    </r>
  </si>
  <si>
    <t xml:space="preserve">Consensus:</t>
  </si>
  <si>
    <t xml:space="preserve">p= </t>
  </si>
  <si>
    <t xml:space="preserve">selected Participant (0=consol.)</t>
  </si>
  <si>
    <t xml:space="preserve">Objective  </t>
  </si>
  <si>
    <t xml:space="preserve">Author </t>
  </si>
  <si>
    <t xml:space="preserve">Date </t>
  </si>
  <si>
    <t xml:space="preserve">Thresh:</t>
  </si>
  <si>
    <t xml:space="preserve">Iterations:</t>
  </si>
  <si>
    <t xml:space="preserve">EVM check:</t>
  </si>
  <si>
    <t xml:space="preserve">Table </t>
  </si>
  <si>
    <t xml:space="preserve">Criterion</t>
  </si>
  <si>
    <t xml:space="preserve">Weights</t>
  </si>
  <si>
    <t xml:space="preserve">+/-</t>
  </si>
  <si>
    <t xml:space="preserve">Crit-1</t>
  </si>
  <si>
    <t xml:space="preserve">Crit-2</t>
  </si>
  <si>
    <t xml:space="preserve">for 9&amp;10 unprotect the input sheets and expand the </t>
  </si>
  <si>
    <t xml:space="preserve">question section ("+" in row 66)</t>
  </si>
  <si>
    <t xml:space="preserve">Result </t>
  </si>
  <si>
    <t xml:space="preserve">Eigenvalue</t>
  </si>
  <si>
    <t xml:space="preserve">Lambda:</t>
  </si>
  <si>
    <t xml:space="preserve">MRE:</t>
  </si>
  <si>
    <t xml:space="preserve">Consistency Ratio</t>
  </si>
  <si>
    <t xml:space="preserve">GCI:</t>
  </si>
  <si>
    <t xml:space="preserve">Psi:</t>
  </si>
  <si>
    <t xml:space="preserve">CR:</t>
  </si>
  <si>
    <t xml:space="preserve">MRE est</t>
  </si>
  <si>
    <t xml:space="preserve">Matrix</t>
  </si>
  <si>
    <t xml:space="preserve">normalized principal Eigenvector</t>
  </si>
  <si>
    <t xml:space="preserve">CGI Calculation</t>
  </si>
  <si>
    <t xml:space="preserve">Error calculation EVM (Tomashevskii)</t>
  </si>
  <si>
    <t xml:space="preserve">i:</t>
  </si>
  <si>
    <t xml:space="preserve">Unscaled</t>
  </si>
  <si>
    <t xml:space="preserve">Dissonance (Ordinal Inconsistency):</t>
  </si>
  <si>
    <t xml:space="preserve">Calculation of Consensus Indicator based on RGGM results</t>
  </si>
  <si>
    <t xml:space="preserve">b</t>
  </si>
  <si>
    <t xml:space="preserve">RGGM</t>
  </si>
  <si>
    <t xml:space="preserve">results</t>
  </si>
  <si>
    <t xml:space="preserve">p-avg</t>
  </si>
  <si>
    <t xml:space="preserve">a</t>
  </si>
  <si>
    <r>
      <rPr>
        <sz val="8"/>
        <rFont val="Arial"/>
        <family val="2"/>
        <charset val="1"/>
      </rPr>
      <t xml:space="preserve">D</t>
    </r>
    <r>
      <rPr>
        <sz val="8"/>
        <rFont val="Symbol"/>
        <family val="1"/>
        <charset val="2"/>
      </rPr>
      <t xml:space="preserve">a</t>
    </r>
  </si>
  <si>
    <t xml:space="preserve">Shannon</t>
  </si>
  <si>
    <t xml:space="preserve">Entropy</t>
  </si>
  <si>
    <t xml:space="preserve">AHP cor</t>
  </si>
  <si>
    <t xml:space="preserve">p-avg*ln(p-avg)</t>
  </si>
  <si>
    <t xml:space="preserve">g</t>
  </si>
  <si>
    <t xml:space="preserve">AHP Analytic Hierarchy Process</t>
  </si>
  <si>
    <t xml:space="preserve">n=</t>
  </si>
  <si>
    <t xml:space="preserve">Input</t>
  </si>
  <si>
    <t xml:space="preserve">Objective:</t>
  </si>
  <si>
    <t xml:space="preserve">Only input data in the light green fields!</t>
  </si>
  <si>
    <r>
      <rPr>
        <sz val="8"/>
        <rFont val="Arial"/>
        <family val="2"/>
        <charset val="1"/>
      </rPr>
      <t xml:space="preserve">Please compare the importance of the elements in relation to the objective and fill in the table: Which element of each pair is more important, </t>
    </r>
    <r>
      <rPr>
        <b val="true"/>
        <sz val="8"/>
        <rFont val="Arial"/>
        <family val="2"/>
        <charset val="1"/>
      </rPr>
      <t xml:space="preserve">A or B</t>
    </r>
    <r>
      <rPr>
        <sz val="8"/>
        <rFont val="Arial"/>
        <family val="2"/>
        <charset val="1"/>
      </rPr>
      <t xml:space="preserve">, and </t>
    </r>
    <r>
      <rPr>
        <b val="true"/>
        <sz val="8"/>
        <rFont val="Arial"/>
        <family val="2"/>
        <charset val="1"/>
      </rPr>
      <t xml:space="preserve">how much</t>
    </r>
    <r>
      <rPr>
        <sz val="8"/>
        <rFont val="Arial"/>
        <family val="2"/>
        <charset val="1"/>
      </rPr>
      <t xml:space="preserve"> more on a scale 1-9 as given below. 
</t>
    </r>
    <r>
      <rPr>
        <b val="true"/>
        <sz val="8"/>
        <rFont val="Arial"/>
        <family val="2"/>
        <charset val="1"/>
      </rPr>
      <t xml:space="preserve">Once completed, you might adjust highlighted comparisons 1 to 3 to improve consistency.</t>
    </r>
  </si>
  <si>
    <t xml:space="preserve">n</t>
  </si>
  <si>
    <t xml:space="preserve">Criteria</t>
  </si>
  <si>
    <t xml:space="preserve">RGMM</t>
  </si>
  <si>
    <t xml:space="preserve">Participant 1</t>
  </si>
  <si>
    <t xml:space="preserve">Name</t>
  </si>
  <si>
    <t xml:space="preserve">Weight</t>
  </si>
  <si>
    <t xml:space="preserve">more important ?</t>
  </si>
  <si>
    <t xml:space="preserve">Scale</t>
  </si>
  <si>
    <t xml:space="preserve">A</t>
  </si>
  <si>
    <t xml:space="preserve">i</t>
  </si>
  <si>
    <t xml:space="preserve">j</t>
  </si>
  <si>
    <t xml:space="preserve">B</t>
  </si>
  <si>
    <t xml:space="preserve"> - A or B</t>
  </si>
  <si>
    <t xml:space="preserve">(1-9)</t>
  </si>
  <si>
    <t xml:space="preserve">Intensity of importance</t>
  </si>
  <si>
    <t xml:space="preserve">Definition</t>
  </si>
  <si>
    <t xml:space="preserve">Explanation</t>
  </si>
  <si>
    <t xml:space="preserve">Equal importance</t>
  </si>
  <si>
    <t xml:space="preserve">Two elements contribute equally to the objective</t>
  </si>
  <si>
    <t xml:space="preserve">Moderate importance</t>
  </si>
  <si>
    <t xml:space="preserve">Experience and judgment slightly favor one element over another</t>
  </si>
  <si>
    <t xml:space="preserve">Strong Importance</t>
  </si>
  <si>
    <t xml:space="preserve">Experience and judgment strongly favor one element over another</t>
  </si>
  <si>
    <t xml:space="preserve">Very strong importance</t>
  </si>
  <si>
    <t xml:space="preserve">One element is favored very strongly over another, it dominance is demonstrated in practice</t>
  </si>
  <si>
    <t xml:space="preserve">Extreme importance</t>
  </si>
  <si>
    <t xml:space="preserve">The evidence favoring one element over another is of the highest possible order of affirmation</t>
  </si>
  <si>
    <t xml:space="preserve">2,4,6,8 can be used to express intermediate values</t>
  </si>
  <si>
    <t xml:space="preserve">Supporting calculations</t>
  </si>
  <si>
    <t xml:space="preserve">Decision Matrix A</t>
  </si>
  <si>
    <t xml:space="preserve">participant</t>
  </si>
  <si>
    <t xml:space="preserve">Error calc</t>
  </si>
  <si>
    <t xml:space="preserve">col sum</t>
  </si>
  <si>
    <t xml:space="preserve">Ln(A) for calculation of RGMM</t>
  </si>
  <si>
    <t xml:space="preserve">Consistency Error Matrix</t>
  </si>
  <si>
    <t xml:space="preserve">pj/pi</t>
  </si>
  <si>
    <t xml:space="preserve">Participant 2</t>
  </si>
  <si>
    <t xml:space="preserve">Participant 3</t>
  </si>
  <si>
    <t xml:space="preserve">Participant 4</t>
  </si>
  <si>
    <t xml:space="preserve">Participant 5</t>
  </si>
  <si>
    <t xml:space="preserve">Participant 6</t>
  </si>
  <si>
    <t xml:space="preserve">Participant 7</t>
  </si>
  <si>
    <t xml:space="preserve">Participant 8</t>
  </si>
  <si>
    <t xml:space="preserve">Participant 9</t>
  </si>
  <si>
    <t xml:space="preserve">Participant 10</t>
  </si>
  <si>
    <t xml:space="preserve">Participant 11</t>
  </si>
  <si>
    <t xml:space="preserve">Participant 12</t>
  </si>
  <si>
    <t xml:space="preserve">Participant 13</t>
  </si>
  <si>
    <t xml:space="preserve">Participant 14</t>
  </si>
  <si>
    <t xml:space="preserve">Participant 15</t>
  </si>
  <si>
    <t xml:space="preserve">Participant 16</t>
  </si>
  <si>
    <t xml:space="preserve">Participant 17</t>
  </si>
  <si>
    <t xml:space="preserve">Participant 18</t>
  </si>
  <si>
    <t xml:space="preserve">Participant 19</t>
  </si>
  <si>
    <t xml:space="preserve">Participant 20</t>
  </si>
  <si>
    <t xml:space="preserve">AHP</t>
  </si>
  <si>
    <t xml:space="preserve">Analytic Hierarchy Process</t>
  </si>
  <si>
    <t xml:space="preserve">bpmsg.com</t>
  </si>
  <si>
    <t xml:space="preserve">Multiple Input Summary Sheet</t>
  </si>
  <si>
    <t xml:space="preserve">= k number of participants</t>
  </si>
  <si>
    <t xml:space="preserve">Consolidated = Weighted geometric mean off participants</t>
  </si>
  <si>
    <t xml:space="preserve">= n number of criteria</t>
  </si>
  <si>
    <t xml:space="preserve">Calculation of weighted geometric mean</t>
  </si>
  <si>
    <t xml:space="preserve">C</t>
  </si>
  <si>
    <t xml:space="preserve">Consolidated</t>
  </si>
  <si>
    <t xml:space="preserve">Consolidated  log</t>
  </si>
  <si>
    <t xml:space="preserve">sum of weights</t>
  </si>
  <si>
    <t xml:space="preserve">Analytic Hierarchy Process (10x10 Matrix)</t>
  </si>
  <si>
    <t xml:space="preserve">Power Method (Dominant Eigenvalue)</t>
  </si>
  <si>
    <t xml:space="preserve">Iterations</t>
  </si>
  <si>
    <t xml:space="preserve">Sum (col)</t>
  </si>
  <si>
    <t xml:space="preserve">Scaling</t>
  </si>
  <si>
    <t xml:space="preserve">Normalization</t>
  </si>
  <si>
    <t xml:space="preserve">Eigenvalue:</t>
  </si>
  <si>
    <t xml:space="preserve">Check</t>
  </si>
  <si>
    <t xml:space="preserve">err:</t>
  </si>
  <si>
    <t xml:space="preserve">check:</t>
  </si>
  <si>
    <r>
      <rPr>
        <b val="true"/>
        <sz val="10"/>
        <color rgb="FF000000"/>
        <rFont val="Calibri"/>
        <family val="2"/>
        <charset val="1"/>
      </rPr>
      <t xml:space="preserve">I</t>
    </r>
    <r>
      <rPr>
        <sz val="10"/>
        <rFont val="Arial"/>
        <family val="2"/>
        <charset val="1"/>
      </rPr>
      <t xml:space="preserve">*I</t>
    </r>
  </si>
  <si>
    <r>
      <rPr>
        <b val="true"/>
        <sz val="10"/>
        <color rgb="FF000000"/>
        <rFont val="Calibri"/>
        <family val="2"/>
        <charset val="1"/>
      </rPr>
      <t xml:space="preserve">A</t>
    </r>
    <r>
      <rPr>
        <sz val="10"/>
        <rFont val="Arial"/>
        <family val="2"/>
        <charset val="1"/>
      </rPr>
      <t xml:space="preserve">-</t>
    </r>
    <r>
      <rPr>
        <b val="true"/>
        <sz val="10"/>
        <color rgb="FF000000"/>
        <rFont val="Calibri"/>
        <family val="2"/>
        <charset val="1"/>
      </rPr>
      <t xml:space="preserve">I</t>
    </r>
    <r>
      <rPr>
        <sz val="10"/>
        <rFont val="Arial"/>
        <family val="2"/>
        <charset val="1"/>
      </rPr>
      <t xml:space="preserve">*I</t>
    </r>
  </si>
  <si>
    <r>
      <rPr>
        <sz val="10"/>
        <color rgb="FF000000"/>
        <rFont val="Calibri"/>
        <family val="2"/>
        <charset val="1"/>
      </rPr>
      <t xml:space="preserve">(</t>
    </r>
    <r>
      <rPr>
        <b val="true"/>
        <sz val="10"/>
        <color rgb="FF000000"/>
        <rFont val="Calibri"/>
        <family val="2"/>
        <charset val="1"/>
      </rPr>
      <t xml:space="preserve">A</t>
    </r>
    <r>
      <rPr>
        <sz val="10"/>
        <rFont val="Arial"/>
        <family val="2"/>
        <charset val="1"/>
      </rPr>
      <t xml:space="preserve">-</t>
    </r>
    <r>
      <rPr>
        <b val="true"/>
        <sz val="10"/>
        <color rgb="FF000000"/>
        <rFont val="Calibri"/>
        <family val="2"/>
        <charset val="1"/>
      </rPr>
      <t xml:space="preserve">I</t>
    </r>
    <r>
      <rPr>
        <sz val="10"/>
        <rFont val="Arial"/>
        <family val="2"/>
        <charset val="1"/>
      </rPr>
      <t xml:space="preserve">*I)</t>
    </r>
    <r>
      <rPr>
        <b val="true"/>
        <sz val="10"/>
        <color rgb="FF000000"/>
        <rFont val="Calibri"/>
        <family val="2"/>
        <charset val="1"/>
      </rPr>
      <t xml:space="preserve">x</t>
    </r>
  </si>
</sst>
</file>

<file path=xl/styles.xml><?xml version="1.0" encoding="utf-8"?>
<styleSheet xmlns="http://schemas.openxmlformats.org/spreadsheetml/2006/main">
  <numFmts count="21">
    <numFmt numFmtId="164" formatCode="_(* #,##0_);_(* \(#,##0\);_(* \-_);_(@_)"/>
    <numFmt numFmtId="165" formatCode="General"/>
    <numFmt numFmtId="166" formatCode="_(* #,##0.00_);_(* \(#,##0.00\);_(* \-??_);_(@_)"/>
    <numFmt numFmtId="167" formatCode="0%"/>
    <numFmt numFmtId="168" formatCode="mm/dd/yyyy"/>
    <numFmt numFmtId="169" formatCode="mm/dd/yy"/>
    <numFmt numFmtId="170" formatCode="0.0%"/>
    <numFmt numFmtId="171" formatCode="General"/>
    <numFmt numFmtId="172" formatCode="[$-409]d\-mmm\-yy;@"/>
    <numFmt numFmtId="173" formatCode="0E+00"/>
    <numFmt numFmtId="174" formatCode="0.0E+00"/>
    <numFmt numFmtId="175" formatCode="@"/>
    <numFmt numFmtId="176" formatCode="0.000"/>
    <numFmt numFmtId="177" formatCode="0.00"/>
    <numFmt numFmtId="178" formatCode="# ?/?"/>
    <numFmt numFmtId="179" formatCode="0.00%"/>
    <numFmt numFmtId="180" formatCode="0.0000"/>
    <numFmt numFmtId="181" formatCode="0.0"/>
    <numFmt numFmtId="182" formatCode="0"/>
    <numFmt numFmtId="183" formatCode="_(* #,##0.0000_);_(* \(#,##0.0000\);_(* \-??_);_(@_)"/>
    <numFmt numFmtId="184" formatCode="0.E+00"/>
  </numFmts>
  <fonts count="50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b val="true"/>
      <sz val="11"/>
      <name val="Arial"/>
      <family val="2"/>
      <charset val="1"/>
    </font>
    <font>
      <u val="single"/>
      <sz val="10"/>
      <color rgb="FF0000FF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006100"/>
      <name val="Arial"/>
      <family val="2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2"/>
      <charset val="1"/>
    </font>
    <font>
      <sz val="10"/>
      <color rgb="FF1F497D"/>
      <name val="Arial"/>
      <family val="2"/>
      <charset val="1"/>
    </font>
    <font>
      <b val="true"/>
      <sz val="10"/>
      <color rgb="FF1F497D"/>
      <name val="Arial"/>
      <family val="2"/>
      <charset val="1"/>
    </font>
    <font>
      <sz val="8"/>
      <color rgb="FF80808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FA7D00"/>
      <name val="Arial"/>
      <family val="2"/>
      <charset val="1"/>
    </font>
    <font>
      <sz val="10"/>
      <color rgb="FFFA7D00"/>
      <name val="Arial"/>
      <family val="2"/>
      <charset val="1"/>
    </font>
    <font>
      <i val="true"/>
      <sz val="10"/>
      <name val="Symbol"/>
      <family val="1"/>
      <charset val="2"/>
    </font>
    <font>
      <i val="true"/>
      <sz val="10"/>
      <name val="Arial"/>
      <family val="2"/>
      <charset val="1"/>
    </font>
    <font>
      <sz val="8"/>
      <name val="Arial"/>
      <family val="2"/>
      <charset val="1"/>
    </font>
    <font>
      <sz val="8"/>
      <color rgb="FF7F7F7F"/>
      <name val="Arial"/>
      <family val="2"/>
      <charset val="1"/>
    </font>
    <font>
      <b val="true"/>
      <sz val="11"/>
      <color rgb="FFFFFFFF"/>
      <name val="Calibri"/>
      <family val="2"/>
      <charset val="1"/>
    </font>
    <font>
      <sz val="8"/>
      <name val="Calibri"/>
      <family val="2"/>
      <charset val="1"/>
    </font>
    <font>
      <sz val="10"/>
      <color rgb="FFFFFFFF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sz val="8"/>
      <color rgb="FF006100"/>
      <name val="Arial"/>
      <family val="2"/>
      <charset val="1"/>
    </font>
    <font>
      <sz val="8"/>
      <color rgb="FFFFFFFF"/>
      <name val="Arial"/>
      <family val="2"/>
      <charset val="1"/>
    </font>
    <font>
      <b val="true"/>
      <sz val="10"/>
      <color rgb="FFFFCC99"/>
      <name val="Arial"/>
      <family val="2"/>
      <charset val="1"/>
    </font>
    <font>
      <b val="true"/>
      <sz val="8"/>
      <name val="Arial"/>
      <family val="2"/>
      <charset val="1"/>
    </font>
    <font>
      <b val="true"/>
      <sz val="10"/>
      <name val="Symbol"/>
      <family val="1"/>
      <charset val="2"/>
    </font>
    <font>
      <sz val="8"/>
      <name val="Symbol"/>
      <family val="1"/>
      <charset val="2"/>
    </font>
    <font>
      <sz val="11"/>
      <color rgb="FF3F3F76"/>
      <name val="Calibri"/>
      <family val="2"/>
      <charset val="1"/>
    </font>
    <font>
      <b val="true"/>
      <sz val="10"/>
      <color rgb="FF3F3F76"/>
      <name val="Calibri"/>
      <family val="2"/>
      <charset val="1"/>
    </font>
    <font>
      <sz val="10"/>
      <color rgb="FF3F3F76"/>
      <name val="Calibri"/>
      <family val="2"/>
      <charset val="1"/>
    </font>
    <font>
      <sz val="10"/>
      <color rgb="FF000000"/>
      <name val="Tahoma"/>
      <family val="2"/>
      <charset val="1"/>
    </font>
    <font>
      <sz val="9"/>
      <color rgb="FF595959"/>
      <name val="Calibri"/>
      <family val="2"/>
    </font>
    <font>
      <sz val="14"/>
      <name val="Arial"/>
      <family val="2"/>
      <charset val="1"/>
    </font>
    <font>
      <sz val="10"/>
      <color rgb="FF9C6500"/>
      <name val="Arial"/>
      <family val="2"/>
      <charset val="1"/>
    </font>
    <font>
      <sz val="9"/>
      <color rgb="FF000080"/>
      <name val="Arial"/>
      <family val="2"/>
      <charset val="1"/>
    </font>
    <font>
      <sz val="9"/>
      <name val="Arial"/>
      <family val="2"/>
      <charset val="1"/>
    </font>
    <font>
      <b val="true"/>
      <sz val="8"/>
      <color rgb="FFFA7D00"/>
      <name val="Arial"/>
      <family val="2"/>
      <charset val="1"/>
    </font>
    <font>
      <sz val="8"/>
      <color rgb="FFFA7D00"/>
      <name val="Arial"/>
      <family val="2"/>
      <charset val="1"/>
    </font>
    <font>
      <sz val="10"/>
      <color rgb="FFD9D9D9"/>
      <name val="Arial"/>
      <family val="2"/>
      <charset val="1"/>
    </font>
    <font>
      <b val="true"/>
      <sz val="9"/>
      <name val="Arial"/>
      <family val="2"/>
      <charset val="1"/>
    </font>
    <font>
      <sz val="8"/>
      <color rgb="FF77933C"/>
      <name val="Arial"/>
      <family val="2"/>
      <charset val="1"/>
    </font>
    <font>
      <b val="true"/>
      <sz val="10"/>
      <color rgb="FF000000"/>
      <name val="Calibri"/>
      <family val="2"/>
      <charset val="1"/>
    </font>
    <font>
      <b val="true"/>
      <sz val="16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6EFCE"/>
        <bgColor rgb="FFD7E4BD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A6A6A6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DEADA"/>
      </patternFill>
    </fill>
    <fill>
      <patternFill patternType="solid">
        <fgColor rgb="FFFFFFFF"/>
        <bgColor rgb="FFF2F2F2"/>
      </patternFill>
    </fill>
    <fill>
      <patternFill patternType="solid">
        <fgColor rgb="FFC3D69B"/>
        <bgColor rgb="FFD7E4BD"/>
      </patternFill>
    </fill>
    <fill>
      <patternFill patternType="solid">
        <fgColor rgb="FFD7E4BD"/>
        <bgColor rgb="FFD9D9D9"/>
      </patternFill>
    </fill>
    <fill>
      <patternFill patternType="solid">
        <fgColor rgb="FFC0C0C0"/>
        <bgColor rgb="FFBFBFBF"/>
      </patternFill>
    </fill>
    <fill>
      <patternFill patternType="solid">
        <fgColor rgb="FF808080"/>
        <bgColor rgb="FF7F7F7F"/>
      </patternFill>
    </fill>
    <fill>
      <patternFill patternType="solid">
        <fgColor rgb="FFC6D9F1"/>
        <bgColor rgb="FFB9CDE5"/>
      </patternFill>
    </fill>
    <fill>
      <patternFill patternType="solid">
        <fgColor rgb="FFDCE6F2"/>
        <bgColor rgb="FFD9D9D9"/>
      </patternFill>
    </fill>
    <fill>
      <patternFill patternType="solid">
        <fgColor rgb="FF95B3D7"/>
        <bgColor rgb="FFA6A6A6"/>
      </patternFill>
    </fill>
    <fill>
      <patternFill patternType="solid">
        <fgColor rgb="FFD9D9D9"/>
        <bgColor rgb="FFD7E4BD"/>
      </patternFill>
    </fill>
    <fill>
      <patternFill patternType="solid">
        <fgColor rgb="FFBFBFBF"/>
        <bgColor rgb="FFC0C0C0"/>
      </patternFill>
    </fill>
    <fill>
      <patternFill patternType="solid">
        <fgColor rgb="FFA6A6A6"/>
        <bgColor rgb="FFA5A5A5"/>
      </patternFill>
    </fill>
    <fill>
      <patternFill patternType="solid">
        <fgColor rgb="FFB9CDE5"/>
        <bgColor rgb="FFC6D9F1"/>
      </patternFill>
    </fill>
    <fill>
      <patternFill patternType="solid">
        <fgColor rgb="FFFFFF00"/>
        <bgColor rgb="FFFFEB9C"/>
      </patternFill>
    </fill>
    <fill>
      <patternFill patternType="solid">
        <fgColor rgb="FFFAC090"/>
        <bgColor rgb="FFFFCC99"/>
      </patternFill>
    </fill>
    <fill>
      <patternFill patternType="solid">
        <fgColor rgb="FFF79646"/>
        <bgColor rgb="FFFA7D00"/>
      </patternFill>
    </fill>
    <fill>
      <patternFill patternType="solid">
        <fgColor rgb="FFFDEADA"/>
        <bgColor rgb="FFEBF1DE"/>
      </patternFill>
    </fill>
    <fill>
      <patternFill patternType="solid">
        <fgColor rgb="FFEBF1DE"/>
        <bgColor rgb="FFF2F2F2"/>
      </patternFill>
    </fill>
  </fills>
  <borders count="51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32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7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9" fillId="2" borderId="0" applyFont="true" applyBorder="false" applyAlignment="true" applyProtection="false">
      <alignment horizontal="general" vertical="bottom" textRotation="0" wrapText="false" indent="0" shrinkToFit="false"/>
    </xf>
    <xf numFmtId="165" fontId="16" fillId="3" borderId="1" applyFont="true" applyBorder="true" applyAlignment="true" applyProtection="false">
      <alignment horizontal="general" vertical="bottom" textRotation="0" wrapText="false" indent="0" shrinkToFit="false"/>
    </xf>
    <xf numFmtId="165" fontId="22" fillId="4" borderId="2" applyFont="true" applyBorder="true" applyAlignment="true" applyProtection="false">
      <alignment horizontal="general" vertical="bottom" textRotation="0" wrapText="false" indent="0" shrinkToFit="false"/>
    </xf>
    <xf numFmtId="165" fontId="32" fillId="5" borderId="1" applyFont="true" applyBorder="true" applyAlignment="true" applyProtection="false">
      <alignment horizontal="general" vertical="bottom" textRotation="0" wrapText="false" indent="0" shrinkToFit="false"/>
    </xf>
    <xf numFmtId="165" fontId="38" fillId="6" borderId="0" applyFont="true" applyBorder="false" applyAlignment="true" applyProtection="false">
      <alignment horizontal="general" vertical="bottom" textRotation="0" wrapText="false" indent="0" shrinkToFit="false"/>
    </xf>
  </cellStyleXfs>
  <cellXfs count="416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4" fillId="0" borderId="3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5" fontId="0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0" borderId="3" xfId="27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4" fillId="0" borderId="3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4" fillId="0" borderId="4" xfId="27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4" fillId="0" borderId="4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4" fillId="0" borderId="5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8" fillId="0" borderId="6" xfId="27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4" fillId="0" borderId="7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8" fillId="0" borderId="8" xfId="27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8" fontId="4" fillId="0" borderId="9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11" fillId="7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7" fillId="7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5" fillId="7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4" fillId="8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7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5" fontId="4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0" fontId="16" fillId="3" borderId="1" xfId="28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7" fillId="7" borderId="0" xfId="2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18" fillId="7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5" fontId="20" fillId="9" borderId="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8" borderId="1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21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1" fontId="16" fillId="3" borderId="1" xfId="28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7" borderId="0" xfId="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4" fillId="9" borderId="3" xfId="0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5" fontId="8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7" borderId="0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7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4" fillId="7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9" borderId="3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5" fontId="20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3" fontId="23" fillId="9" borderId="0" xfId="2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0" fillId="7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1" fontId="20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4" fontId="23" fillId="7" borderId="0" xfId="2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7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7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7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4" fillId="10" borderId="17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5" fontId="4" fillId="9" borderId="5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9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0" fontId="4" fillId="7" borderId="6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7" borderId="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4" fillId="7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7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4" fillId="9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0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5" fontId="4" fillId="0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0" fillId="3" borderId="6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4" fillId="10" borderId="19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5" fontId="4" fillId="3" borderId="2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5" fontId="20" fillId="3" borderId="2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0" fontId="4" fillId="7" borderId="2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7" borderId="2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5" fontId="8" fillId="7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5" fontId="0" fillId="7" borderId="0" xfId="0" applyFont="false" applyBorder="true" applyAlignment="true" applyProtection="true">
      <alignment horizontal="left" vertical="center" textRotation="0" wrapText="false" indent="1" shrinkToFit="false"/>
      <protection locked="true" hidden="false"/>
    </xf>
    <xf numFmtId="175" fontId="4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7" borderId="23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7" borderId="2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25" fillId="7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" fillId="7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7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0" fillId="7" borderId="1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6" fontId="16" fillId="3" borderId="0" xfId="28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5" fillId="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7" fontId="26" fillId="2" borderId="0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6" fillId="0" borderId="0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6" fillId="2" borderId="0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27" fillId="7" borderId="18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19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7" borderId="26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25" fillId="7" borderId="2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5" fillId="7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8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7" borderId="27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0" fillId="7" borderId="2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1" fontId="20" fillId="7" borderId="0" xfId="0" applyFont="true" applyBorder="false" applyAlignment="true" applyProtection="true">
      <alignment horizontal="center" vertical="bottom" textRotation="90" wrapText="true" indent="0" shrinkToFit="false"/>
      <protection locked="true" hidden="false"/>
    </xf>
    <xf numFmtId="165" fontId="8" fillId="7" borderId="28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0" fillId="7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8" fontId="2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0" fillId="7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5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8" fontId="20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0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4" fillId="7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0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70" fontId="20" fillId="11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0" fillId="0" borderId="1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0" fillId="1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8" fillId="7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7" borderId="1" xfId="28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3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7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6" fillId="7" borderId="1" xfId="28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0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0" fillId="12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1" fontId="20" fillId="7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2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19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7" fontId="33" fillId="7" borderId="32" xfId="3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34" fillId="7" borderId="32" xfId="3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7" borderId="3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13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13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37" fillId="13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0" fillId="13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20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3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20" fillId="1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0" fillId="13" borderId="0" xfId="3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13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8" fillId="7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general" vertical="top" textRotation="0" wrapText="true" indent="0" shrinkToFit="false"/>
      <protection locked="true" hidden="false"/>
    </xf>
    <xf numFmtId="165" fontId="20" fillId="7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20" fillId="14" borderId="2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14" borderId="2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14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4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14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14" borderId="2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0" fillId="14" borderId="34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20" fillId="14" borderId="3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14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14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2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0" fillId="7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39" fillId="5" borderId="0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0" fillId="7" borderId="18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14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4" fillId="7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1" fontId="20" fillId="7" borderId="2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0" fillId="7" borderId="2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0" fontId="39" fillId="5" borderId="26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0" fillId="7" borderId="22" xfId="19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8" borderId="1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8" fontId="4" fillId="8" borderId="1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0" fillId="7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41" fillId="3" borderId="1" xfId="2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2" fillId="3" borderId="1" xfId="28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7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3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0" fillId="7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20" fillId="7" borderId="0" xfId="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5" fontId="20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24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3" borderId="23" xfId="28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3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" fillId="0" borderId="2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0" fillId="15" borderId="38" xfId="0" applyFont="true" applyBorder="true" applyAlignment="true" applyProtection="true">
      <alignment horizontal="left" vertical="center" textRotation="90" wrapText="false" indent="0" shrinkToFit="false"/>
      <protection locked="true" hidden="false"/>
    </xf>
    <xf numFmtId="165" fontId="8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4" fillId="0" borderId="2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44" fillId="0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7" fillId="7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82" fontId="14" fillId="1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2" fontId="14" fillId="1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7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7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5" borderId="0" xfId="0" applyFont="true" applyBorder="true" applyAlignment="true" applyProtection="true">
      <alignment horizontal="left" vertical="center" textRotation="90" wrapText="false" indent="0" shrinkToFit="false"/>
      <protection locked="true" hidden="false"/>
    </xf>
    <xf numFmtId="171" fontId="4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8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8" borderId="3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2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7" fontId="45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7" fontId="27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4" fillId="15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15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8" borderId="4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15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15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7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7" borderId="2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0" fillId="15" borderId="29" xfId="0" applyFont="true" applyBorder="true" applyAlignment="true" applyProtection="true">
      <alignment horizontal="left" vertical="center" textRotation="90" wrapText="false" indent="0" shrinkToFit="false"/>
      <protection locked="true" hidden="false"/>
    </xf>
    <xf numFmtId="171" fontId="4" fillId="0" borderId="2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0" fillId="8" borderId="4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" fillId="1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15" borderId="2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4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4" fillId="15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15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4" fillId="7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7" borderId="2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15" borderId="2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4" fillId="0" borderId="2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8" borderId="4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8" borderId="4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7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4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7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2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7" borderId="0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4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20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6" fillId="7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31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20" fillId="7" borderId="31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0" fillId="7" borderId="5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5" fontId="4" fillId="7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9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0" fillId="7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5" fontId="29" fillId="7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1" fontId="29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7" borderId="7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1" fontId="20" fillId="7" borderId="0" xfId="0" applyFont="true" applyBorder="true" applyAlignment="true" applyProtection="true">
      <alignment horizontal="right" vertical="bottom" textRotation="90" wrapText="true" indent="0" shrinkToFit="false"/>
      <protection locked="true" hidden="false"/>
    </xf>
    <xf numFmtId="171" fontId="20" fillId="7" borderId="0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71" fontId="20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7" xfId="0" applyFont="true" applyBorder="true" applyAlignment="true" applyProtection="true">
      <alignment horizontal="right" vertical="bottom" textRotation="90" wrapText="true" indent="0" shrinkToFit="false"/>
      <protection locked="true" hidden="false"/>
    </xf>
    <xf numFmtId="165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20" fillId="7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2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5" fontId="20" fillId="7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29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0" fillId="7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8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9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9" fillId="7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7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7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20" fillId="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20" fillId="7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20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1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20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7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15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17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0" fillId="7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8" borderId="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0" fillId="8" borderId="2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29" fillId="1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7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7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29" fillId="17" borderId="4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20" fillId="7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0" fillId="7" borderId="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7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20" fillId="7" borderId="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1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4" fillId="1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4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40" fillId="2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0" fillId="2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0" fillId="2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0" fillId="2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0" fillId="19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0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0" fillId="22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29" fillId="17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8" fontId="20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9" fillId="17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20" fillId="0" borderId="1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29" fillId="17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0" fillId="2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40" fillId="2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7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13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4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46" fillId="0" borderId="0" xfId="2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4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24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16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5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0" fillId="0" borderId="0" xfId="2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6" fillId="0" borderId="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15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5" fillId="9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9" borderId="0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9" borderId="46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9" borderId="47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6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5" fillId="0" borderId="48" xfId="24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6" fillId="20" borderId="49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6" fillId="20" borderId="50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13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23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3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4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7" fontId="5" fillId="3" borderId="0" xfId="24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1"/>
    <cellStyle name="Normal 2" xfId="22"/>
    <cellStyle name="Normal 2 2" xfId="23"/>
    <cellStyle name="Normal 3" xfId="24"/>
    <cellStyle name="Percent 2" xfId="25"/>
    <cellStyle name="Percent 3" xfId="26"/>
    <cellStyle name="*unknown*" xfId="20" builtinId="8"/>
    <cellStyle name="Excel Built-in Good" xfId="27"/>
    <cellStyle name="Excel Built-in Calculation" xfId="28"/>
    <cellStyle name="Excel Built-in Check Cell" xfId="29"/>
    <cellStyle name="Excel Built-in Input" xfId="30"/>
    <cellStyle name="Excel Built-in Neutral" xfId="31"/>
  </cellStyles>
  <dxfs count="712">
    <dxf>
      <font>
        <color rgb="FFFFFFFF"/>
      </font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CC99"/>
      </font>
      <fill>
        <patternFill>
          <bgColor rgb="FFFFCC99"/>
        </patternFill>
      </fill>
    </dxf>
    <dxf>
      <font>
        <b val="0"/>
        <i val="0"/>
        <color rgb="FFD9D9D9"/>
      </font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FFFFFF"/>
      </font>
      <fill>
        <patternFill>
          <bgColor rgb="FFC0504D"/>
        </patternFill>
      </fill>
    </dxf>
    <dxf>
      <font>
        <color rgb="FF000000"/>
      </font>
      <fill>
        <patternFill>
          <bgColor rgb="FFF2DCDB"/>
        </patternFill>
      </fill>
    </dxf>
    <dxf>
      <numFmt numFmtId="164" formatCode="_(* #,##0_);_(* \(#,##0\);_(* \-_);_(@_)"/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F79646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FFFFFF"/>
        </patternFill>
      </fill>
    </dxf>
    <dxf>
      <font>
        <color rgb="FFFFFFFF"/>
      </font>
      <fill>
        <patternFill>
          <bgColor rgb="FFD7E4BD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D9D9D9"/>
      </font>
    </dxf>
    <dxf>
      <font>
        <b val="0"/>
        <i val="0"/>
        <color rgb="FFD9D9D9"/>
      </font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92D050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D99694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numFmt numFmtId="164" formatCode="_(* #,##0_);_(* \(#,##0\);_(* \-_);_(@_)"/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ill>
        <patternFill>
          <bgColor rgb="FFFFFFFF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ont>
        <color rgb="FFFFFFFF"/>
      </font>
      <fill>
        <patternFill>
          <bgColor rgb="FFFFFFFF"/>
        </patternFill>
      </fill>
    </dxf>
    <dxf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fill>
        <patternFill>
          <bgColor rgb="FFBFBFB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92D050"/>
        </patternFill>
      </fill>
    </dxf>
    <dxf>
      <numFmt numFmtId="164" formatCode="_(* #,##0_);_(* \(#,##0\);_(* \-_);_(@_)"/>
    </dxf>
    <dxf>
      <numFmt numFmtId="164" formatCode="_(* #,##0_);_(* \(#,##0\);_(* \-_);_(@_)"/>
    </dxf>
    <dxf>
      <fill>
        <patternFill>
          <bgColor rgb="FF92D050"/>
        </patternFill>
      </fill>
    </dxf>
    <dxf>
      <font>
        <color rgb="FFFFFFFF"/>
      </font>
      <fill>
        <patternFill>
          <bgColor rgb="FFD99694"/>
        </patternFill>
      </fill>
    </dxf>
    <dxf>
      <font>
        <color rgb="FFFFFFFF"/>
      </font>
    </dxf>
    <dxf>
      <font>
        <color rgb="FFF2F2F2"/>
      </font>
      <fill>
        <patternFill>
          <bgColor rgb="FFE6B9B8"/>
        </patternFill>
      </fill>
    </dxf>
    <dxf>
      <font>
        <color rgb="FFF2F2F2"/>
      </font>
      <fill>
        <patternFill>
          <bgColor rgb="FFD99694"/>
        </patternFill>
      </fill>
    </dxf>
    <dxf>
      <font>
        <color rgb="FFF2F2F2"/>
      </font>
      <fill>
        <patternFill>
          <bgColor rgb="FF953735"/>
        </patternFill>
      </fill>
    </dxf>
    <dxf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numFmt numFmtId="164" formatCode="_(* #,##0_);_(* \(#,##0\);_(* \-_);_(@_)"/>
    </dxf>
    <dxf>
      <fill>
        <patternFill>
          <bgColor rgb="FFDCE6F2"/>
        </patternFill>
      </fill>
    </dxf>
    <dxf>
      <fill>
        <patternFill>
          <bgColor rgb="FFDCE6F2"/>
        </patternFill>
      </fill>
    </dxf>
    <dxf>
      <font>
        <color rgb="FFFFFFFF"/>
      </font>
      <fill>
        <patternFill>
          <bgColor rgb="FFFFFFFF"/>
        </patternFill>
      </fill>
    </dxf>
    <dxf>
      <font>
        <color rgb="FFFFFFFF"/>
      </font>
      <numFmt numFmtId="164" formatCode="_(* #,##0_);_(* \(#,##0\);_(* \-_);_(@_)"/>
      <fill>
        <patternFill>
          <bgColor rgb="FFFFFFFF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  <dxf>
      <fill>
        <patternFill>
          <bgColor rgb="FFB9CDE5"/>
        </patternFill>
      </fill>
    </dxf>
  </dxfs>
  <colors>
    <indexedColors>
      <rgbColor rgb="FF000000"/>
      <rgbColor rgb="FFFFFFFF"/>
      <rgbColor rgb="FFFF0000"/>
      <rgbColor rgb="FFFDEADA"/>
      <rgbColor rgb="FF0000FF"/>
      <rgbColor rgb="FFFFFF00"/>
      <rgbColor rgb="FFFFC7CE"/>
      <rgbColor rgb="FFD7E4BD"/>
      <rgbColor rgb="FF9C0006"/>
      <rgbColor rgb="FF006100"/>
      <rgbColor rgb="FF000080"/>
      <rgbColor rgb="FF77933C"/>
      <rgbColor rgb="FF800080"/>
      <rgbColor rgb="FF7F7F7F"/>
      <rgbColor rgb="FFC0C0C0"/>
      <rgbColor rgb="FF808080"/>
      <rgbColor rgb="FF95B3D7"/>
      <rgbColor rgb="FF953735"/>
      <rgbColor rgb="FFEBF1DE"/>
      <rgbColor rgb="FFDCE6F2"/>
      <rgbColor rgb="FF660066"/>
      <rgbColor rgb="FFD99694"/>
      <rgbColor rgb="FF0066CC"/>
      <rgbColor rgb="FFC6D9F1"/>
      <rgbColor rgb="FF000080"/>
      <rgbColor rgb="FFFF00FF"/>
      <rgbColor rgb="FFC3D69B"/>
      <rgbColor rgb="FFF2DCDB"/>
      <rgbColor rgb="FF800080"/>
      <rgbColor rgb="FF800000"/>
      <rgbColor rgb="FFA6A6A6"/>
      <rgbColor rgb="FF0000FF"/>
      <rgbColor rgb="FFD9D9D9"/>
      <rgbColor rgb="FFF2F2F2"/>
      <rgbColor rgb="FFC6EFCE"/>
      <rgbColor rgb="FFFFEB9C"/>
      <rgbColor rgb="FFB9CDE5"/>
      <rgbColor rgb="FFE6B9B8"/>
      <rgbColor rgb="FFBFBFBF"/>
      <rgbColor rgb="FFFFCC99"/>
      <rgbColor rgb="FF4A7EBB"/>
      <rgbColor rgb="FFA5A5A5"/>
      <rgbColor rgb="FF92D050"/>
      <rgbColor rgb="FFFAC090"/>
      <rgbColor rgb="FFF79646"/>
      <rgbColor rgb="FFFA7D00"/>
      <rgbColor rgb="FF595959"/>
      <rgbColor rgb="FF878787"/>
      <rgbColor rgb="FF1F497D"/>
      <rgbColor rgb="FF4F81BD"/>
      <rgbColor rgb="FF003300"/>
      <rgbColor rgb="FF333300"/>
      <rgbColor rgb="FF9C6500"/>
      <rgbColor rgb="FFC0504D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"Result"</c:f>
              <c:strCache>
                <c:ptCount val="1"/>
                <c:pt idx="0">
                  <c:v>Result</c:v>
                </c:pt>
              </c:strCache>
            </c:strRef>
          </c:tx>
          <c:spPr>
            <a:solidFill>
              <a:srgbClr val="4f81bd"/>
            </a:solidFill>
            <a:ln>
              <a:noFill/>
            </a:ln>
          </c:spPr>
          <c:invertIfNegative val="0"/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errBars>
            <c:errDir val="y"/>
            <c:errBarType val="both"/>
            <c:errValType val="cust"/>
            <c:noEndCap val="0"/>
            <c:plus>
              <c:numRef>
                <c:f>Summary!$P$18:$P$27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plus>
            <c:minus>
              <c:numRef>
                <c:f>Summary!$P$18:$P$27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0</c:v>
                  </c:pt>
                  <c:pt idx="5">
                    <c:v>0</c:v>
                  </c:pt>
                  <c:pt idx="6">
                    <c:v>0</c:v>
                  </c:pt>
                  <c:pt idx="7">
                    <c:v>0</c:v>
                  </c:pt>
                  <c:pt idx="8">
                    <c:v>0</c:v>
                  </c:pt>
                  <c:pt idx="9">
                    <c:v>0</c:v>
                  </c:pt>
                </c:numCache>
              </c:numRef>
            </c:minus>
            <c:spPr>
              <a:ln w="19080">
                <a:solidFill>
                  <a:srgbClr val="595959"/>
                </a:solidFill>
                <a:round/>
              </a:ln>
            </c:spPr>
          </c:errBars>
          <c:cat>
            <c:multiLvlStrRef>
              <c:f>Summary!$C$18:$E$27</c:f>
              <c:multiLvlStrCache>
                <c:ptCount val="10"/>
                <c:lvl/>
                <c:lvl/>
                <c:lvl>
                  <c:pt idx="0">
                    <c:v>Crit-1</c:v>
                  </c:pt>
                  <c:pt idx="1">
                    <c:v>Crit-2</c:v>
                  </c:pt>
                </c:lvl>
              </c:multiLvlStrCache>
            </c:multiLvlStrRef>
          </c:cat>
          <c:val>
            <c:numRef>
              <c:f>Summary!$O$18:$O$27</c:f>
              <c:numCache>
                <c:formatCode>General</c:formatCode>
                <c:ptCount val="10"/>
                <c:pt idx="0">
                  <c:v>0.499999046327503</c:v>
                </c:pt>
                <c:pt idx="1">
                  <c:v>0.499999046327503</c:v>
                </c:pt>
                <c:pt idx="2">
                  <c:v>2.38418124355079E-007</c:v>
                </c:pt>
                <c:pt idx="3">
                  <c:v>2.38418124355079E-007</c:v>
                </c:pt>
                <c:pt idx="4">
                  <c:v>2.38418124355079E-007</c:v>
                </c:pt>
                <c:pt idx="5">
                  <c:v>2.38418124355079E-007</c:v>
                </c:pt>
                <c:pt idx="6">
                  <c:v>2.38418124355079E-007</c:v>
                </c:pt>
                <c:pt idx="7">
                  <c:v>2.38418124355079E-007</c:v>
                </c:pt>
                <c:pt idx="8">
                  <c:v>2.38418124355079E-007</c:v>
                </c:pt>
                <c:pt idx="9">
                  <c:v>2.38418124355079E-007</c:v>
                </c:pt>
              </c:numCache>
            </c:numRef>
          </c:val>
        </c:ser>
        <c:gapWidth val="219"/>
        <c:overlap val="-27"/>
        <c:axId val="56629438"/>
        <c:axId val="66688200"/>
      </c:barChart>
      <c:catAx>
        <c:axId val="566294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 rot="-5400000"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6688200"/>
        <c:crosses val="autoZero"/>
        <c:auto val="1"/>
        <c:lblAlgn val="ctr"/>
        <c:lblOffset val="100"/>
        <c:noMultiLvlLbl val="0"/>
      </c:catAx>
      <c:valAx>
        <c:axId val="6668820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56629438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US" sz="1600" spc="-1" strike="noStrike">
                <a:solidFill>
                  <a:srgbClr val="000000"/>
                </a:solidFill>
                <a:latin typeface="Calibri"/>
              </a:defRPr>
            </a:pPr>
            <a:r>
              <a:rPr b="1" lang="en-US" sz="1600" spc="-1" strike="noStrike">
                <a:solidFill>
                  <a:srgbClr val="000000"/>
                </a:solidFill>
                <a:latin typeface="Calibri"/>
              </a:rPr>
              <a:t>Convergence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val>
            <c:numRef>
              <c:f>10x10!$N$39:$AG$39</c:f>
              <c:numCache>
                <c:formatCode>General</c:formatCode>
                <c:ptCount val="1"/>
                <c:pt idx="0">
                  <c:v>2.27371073367779E-012</c:v>
                </c:pt>
              </c:numCache>
            </c:numRef>
          </c:val>
          <c:smooth val="0"/>
        </c:ser>
        <c:hiLowLines>
          <c:spPr>
            <a:ln>
              <a:noFill/>
            </a:ln>
          </c:spPr>
        </c:hiLowLines>
        <c:marker val="0"/>
        <c:axId val="3527592"/>
        <c:axId val="77628938"/>
      </c:lineChart>
      <c:catAx>
        <c:axId val="35275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lang="en-SG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lang="en-SG" sz="1000" spc="-1" strike="noStrike">
                    <a:solidFill>
                      <a:srgbClr val="000000"/>
                    </a:solidFill>
                    <a:latin typeface="Calibri"/>
                  </a:rPr>
                  <a:t>Iterations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628938"/>
        <c:crosses val="autoZero"/>
        <c:auto val="1"/>
        <c:lblAlgn val="ctr"/>
        <c:lblOffset val="100"/>
        <c:noMultiLvlLbl val="0"/>
      </c:catAx>
      <c:valAx>
        <c:axId val="77628938"/>
        <c:scaling>
          <c:logBase val="10"/>
          <c:orientation val="minMax"/>
          <c:max val="0.01"/>
          <c:min val="1E-016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E+00" sourceLinked="0"/>
        <c:majorTickMark val="out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7592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2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12</xdr:col>
      <xdr:colOff>29160</xdr:colOff>
      <xdr:row>37</xdr:row>
      <xdr:rowOff>28080</xdr:rowOff>
    </xdr:from>
    <xdr:to>
      <xdr:col>12</xdr:col>
      <xdr:colOff>73440</xdr:colOff>
      <xdr:row>106</xdr:row>
      <xdr:rowOff>47520</xdr:rowOff>
    </xdr:to>
    <xdr:sp>
      <xdr:nvSpPr>
        <xdr:cNvPr id="0" name="CustomShape 1"/>
        <xdr:cNvSpPr/>
      </xdr:nvSpPr>
      <xdr:spPr>
        <a:xfrm>
          <a:off x="4510800" y="5968440"/>
          <a:ext cx="44280" cy="25722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48240</xdr:colOff>
      <xdr:row>36</xdr:row>
      <xdr:rowOff>113760</xdr:rowOff>
    </xdr:from>
    <xdr:to>
      <xdr:col>1</xdr:col>
      <xdr:colOff>113400</xdr:colOff>
      <xdr:row>106</xdr:row>
      <xdr:rowOff>27000</xdr:rowOff>
    </xdr:to>
    <xdr:sp>
      <xdr:nvSpPr>
        <xdr:cNvPr id="1" name="CustomShape 1"/>
        <xdr:cNvSpPr/>
      </xdr:nvSpPr>
      <xdr:spPr>
        <a:xfrm>
          <a:off x="712800" y="5892120"/>
          <a:ext cx="65160" cy="262800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13</xdr:col>
      <xdr:colOff>28440</xdr:colOff>
      <xdr:row>37</xdr:row>
      <xdr:rowOff>28080</xdr:rowOff>
    </xdr:from>
    <xdr:to>
      <xdr:col>13</xdr:col>
      <xdr:colOff>93600</xdr:colOff>
      <xdr:row>106</xdr:row>
      <xdr:rowOff>17280</xdr:rowOff>
    </xdr:to>
    <xdr:sp>
      <xdr:nvSpPr>
        <xdr:cNvPr id="2" name="CustomShape 1"/>
        <xdr:cNvSpPr/>
      </xdr:nvSpPr>
      <xdr:spPr>
        <a:xfrm>
          <a:off x="4983840" y="5968440"/>
          <a:ext cx="65160" cy="2541960"/>
        </a:xfrm>
        <a:prstGeom prst="leftBracket">
          <a:avLst>
            <a:gd name="adj" fmla="val 361111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14</xdr:col>
      <xdr:colOff>415800</xdr:colOff>
      <xdr:row>36</xdr:row>
      <xdr:rowOff>151560</xdr:rowOff>
    </xdr:from>
    <xdr:to>
      <xdr:col>14</xdr:col>
      <xdr:colOff>503280</xdr:colOff>
      <xdr:row>46</xdr:row>
      <xdr:rowOff>236520</xdr:rowOff>
    </xdr:to>
    <xdr:sp>
      <xdr:nvSpPr>
        <xdr:cNvPr id="3" name="CustomShape 1"/>
        <xdr:cNvSpPr/>
      </xdr:nvSpPr>
      <xdr:spPr>
        <a:xfrm>
          <a:off x="5471640" y="5929920"/>
          <a:ext cx="87480" cy="2544120"/>
        </a:xfrm>
        <a:prstGeom prst="rightBracket">
          <a:avLst>
            <a:gd name="adj" fmla="val 175925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314280</xdr:colOff>
      <xdr:row>106</xdr:row>
      <xdr:rowOff>-360</xdr:rowOff>
    </xdr:from>
    <xdr:to>
      <xdr:col>12</xdr:col>
      <xdr:colOff>18360</xdr:colOff>
      <xdr:row>106</xdr:row>
      <xdr:rowOff>0</xdr:rowOff>
    </xdr:to>
    <xdr:sp>
      <xdr:nvSpPr>
        <xdr:cNvPr id="4" name="CustomShape 1"/>
        <xdr:cNvSpPr/>
      </xdr:nvSpPr>
      <xdr:spPr>
        <a:xfrm>
          <a:off x="4433400" y="8492760"/>
          <a:ext cx="6660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106</xdr:row>
      <xdr:rowOff>-360</xdr:rowOff>
    </xdr:from>
    <xdr:to>
      <xdr:col>12</xdr:col>
      <xdr:colOff>46800</xdr:colOff>
      <xdr:row>106</xdr:row>
      <xdr:rowOff>102960</xdr:rowOff>
    </xdr:to>
    <xdr:sp>
      <xdr:nvSpPr>
        <xdr:cNvPr id="5" name="CustomShape 1"/>
        <xdr:cNvSpPr/>
      </xdr:nvSpPr>
      <xdr:spPr>
        <a:xfrm>
          <a:off x="4452480" y="8492760"/>
          <a:ext cx="75960" cy="10332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162720</xdr:colOff>
      <xdr:row>106</xdr:row>
      <xdr:rowOff>-360</xdr:rowOff>
    </xdr:from>
    <xdr:to>
      <xdr:col>2</xdr:col>
      <xdr:colOff>47160</xdr:colOff>
      <xdr:row>106</xdr:row>
      <xdr:rowOff>131400</xdr:rowOff>
    </xdr:to>
    <xdr:sp>
      <xdr:nvSpPr>
        <xdr:cNvPr id="6" name="CustomShape 1"/>
        <xdr:cNvSpPr/>
      </xdr:nvSpPr>
      <xdr:spPr>
        <a:xfrm>
          <a:off x="827280" y="8492760"/>
          <a:ext cx="75600" cy="13176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172080</xdr:colOff>
      <xdr:row>106</xdr:row>
      <xdr:rowOff>-360</xdr:rowOff>
    </xdr:from>
    <xdr:to>
      <xdr:col>2</xdr:col>
      <xdr:colOff>37440</xdr:colOff>
      <xdr:row>106</xdr:row>
      <xdr:rowOff>112680</xdr:rowOff>
    </xdr:to>
    <xdr:sp>
      <xdr:nvSpPr>
        <xdr:cNvPr id="7" name="CustomShape 1"/>
        <xdr:cNvSpPr/>
      </xdr:nvSpPr>
      <xdr:spPr>
        <a:xfrm>
          <a:off x="836640" y="8492760"/>
          <a:ext cx="56520" cy="113040"/>
        </a:xfrm>
        <a:prstGeom prst="leftBracket">
          <a:avLst>
            <a:gd name="adj" fmla="val 22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12</xdr:col>
      <xdr:colOff>720</xdr:colOff>
      <xdr:row>106</xdr:row>
      <xdr:rowOff>-360</xdr:rowOff>
    </xdr:from>
    <xdr:to>
      <xdr:col>12</xdr:col>
      <xdr:colOff>75600</xdr:colOff>
      <xdr:row>107</xdr:row>
      <xdr:rowOff>55800</xdr:rowOff>
    </xdr:to>
    <xdr:sp>
      <xdr:nvSpPr>
        <xdr:cNvPr id="8" name="CustomShape 1"/>
        <xdr:cNvSpPr/>
      </xdr:nvSpPr>
      <xdr:spPr>
        <a:xfrm>
          <a:off x="4482360" y="8492760"/>
          <a:ext cx="74880" cy="21780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29</xdr:col>
      <xdr:colOff>115200</xdr:colOff>
      <xdr:row>7</xdr:row>
      <xdr:rowOff>21240</xdr:rowOff>
    </xdr:from>
    <xdr:to>
      <xdr:col>38</xdr:col>
      <xdr:colOff>530640</xdr:colOff>
      <xdr:row>33</xdr:row>
      <xdr:rowOff>13680</xdr:rowOff>
    </xdr:to>
    <xdr:graphicFrame>
      <xdr:nvGraphicFramePr>
        <xdr:cNvPr id="9" name="Chart 11"/>
        <xdr:cNvGraphicFramePr/>
      </xdr:nvGraphicFramePr>
      <xdr:xfrm>
        <a:off x="6804000" y="1078920"/>
        <a:ext cx="5540040" cy="3693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4320</xdr:rowOff>
    </xdr:from>
    <xdr:to>
      <xdr:col>12</xdr:col>
      <xdr:colOff>16560</xdr:colOff>
      <xdr:row>133</xdr:row>
      <xdr:rowOff>136080</xdr:rowOff>
    </xdr:to>
    <xdr:sp>
      <xdr:nvSpPr>
        <xdr:cNvPr id="10" name="CustomShape 1"/>
        <xdr:cNvSpPr/>
      </xdr:nvSpPr>
      <xdr:spPr>
        <a:xfrm>
          <a:off x="4372560" y="204364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11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12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13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14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15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16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132</xdr:row>
      <xdr:rowOff>156960</xdr:rowOff>
    </xdr:from>
    <xdr:to>
      <xdr:col>2</xdr:col>
      <xdr:colOff>93960</xdr:colOff>
      <xdr:row>133</xdr:row>
      <xdr:rowOff>145800</xdr:rowOff>
    </xdr:to>
    <xdr:sp>
      <xdr:nvSpPr>
        <xdr:cNvPr id="17" name="CustomShape 1"/>
        <xdr:cNvSpPr/>
      </xdr:nvSpPr>
      <xdr:spPr>
        <a:xfrm>
          <a:off x="40464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132</xdr:row>
      <xdr:rowOff>156960</xdr:rowOff>
    </xdr:from>
    <xdr:to>
      <xdr:col>11</xdr:col>
      <xdr:colOff>377640</xdr:colOff>
      <xdr:row>133</xdr:row>
      <xdr:rowOff>126720</xdr:rowOff>
    </xdr:to>
    <xdr:sp>
      <xdr:nvSpPr>
        <xdr:cNvPr id="18" name="CustomShape 1"/>
        <xdr:cNvSpPr/>
      </xdr:nvSpPr>
      <xdr:spPr>
        <a:xfrm>
          <a:off x="4353480" y="204271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>
      <xdr:nvSpPr>
        <xdr:cNvPr id="19" name="CustomShape 1"/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>
      <xdr:nvSpPr>
        <xdr:cNvPr id="20" name="CustomShape 1"/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21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>
      <xdr:nvSpPr>
        <xdr:cNvPr id="29" name="CustomShape 1"/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>
      <xdr:nvSpPr>
        <xdr:cNvPr id="30" name="CustomShape 1"/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>
      <xdr:nvSpPr>
        <xdr:cNvPr id="31" name="CustomShape 1"/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>
      <xdr:nvSpPr>
        <xdr:cNvPr id="32" name="CustomShape 1"/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>
      <xdr:nvSpPr>
        <xdr:cNvPr id="33" name="CustomShape 1"/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>
      <xdr:nvSpPr>
        <xdr:cNvPr id="34" name="CustomShape 1"/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>
      <xdr:nvSpPr>
        <xdr:cNvPr id="35" name="CustomShape 1"/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>
      <xdr:nvSpPr>
        <xdr:cNvPr id="36" name="CustomShape 1"/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>
      <xdr:nvSpPr>
        <xdr:cNvPr id="37" name="CustomShape 1"/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>
      <xdr:nvSpPr>
        <xdr:cNvPr id="38" name="CustomShape 1"/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>
      <xdr:nvSpPr>
        <xdr:cNvPr id="39" name="CustomShape 1"/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>
      <xdr:nvSpPr>
        <xdr:cNvPr id="40" name="CustomShape 1"/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>
      <xdr:nvSpPr>
        <xdr:cNvPr id="41" name="CustomShape 1"/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>
      <xdr:nvSpPr>
        <xdr:cNvPr id="42" name="CustomShape 1"/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132</xdr:row>
      <xdr:rowOff>156960</xdr:rowOff>
    </xdr:from>
    <xdr:to>
      <xdr:col>2</xdr:col>
      <xdr:colOff>84600</xdr:colOff>
      <xdr:row>133</xdr:row>
      <xdr:rowOff>145800</xdr:rowOff>
    </xdr:to>
    <xdr:sp>
      <xdr:nvSpPr>
        <xdr:cNvPr id="43" name="CustomShape 1"/>
        <xdr:cNvSpPr/>
      </xdr:nvSpPr>
      <xdr:spPr>
        <a:xfrm>
          <a:off x="395280" y="204271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132</xdr:row>
      <xdr:rowOff>156960</xdr:rowOff>
    </xdr:from>
    <xdr:to>
      <xdr:col>12</xdr:col>
      <xdr:colOff>16560</xdr:colOff>
      <xdr:row>133</xdr:row>
      <xdr:rowOff>126720</xdr:rowOff>
    </xdr:to>
    <xdr:sp>
      <xdr:nvSpPr>
        <xdr:cNvPr id="44" name="CustomShape 1"/>
        <xdr:cNvSpPr/>
      </xdr:nvSpPr>
      <xdr:spPr>
        <a:xfrm>
          <a:off x="4372560" y="204271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45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46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47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48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49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50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51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52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53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56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>
      <xdr:nvSpPr>
        <xdr:cNvPr id="86" name="CustomShape 1"/>
        <xdr:cNvSpPr/>
      </xdr:nvSpPr>
      <xdr:spPr>
        <a:xfrm>
          <a:off x="4372560" y="84027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87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88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89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90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91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92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>
      <xdr:nvSpPr>
        <xdr:cNvPr id="93" name="CustomShape 1"/>
        <xdr:cNvSpPr/>
      </xdr:nvSpPr>
      <xdr:spPr>
        <a:xfrm>
          <a:off x="40464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>
      <xdr:nvSpPr>
        <xdr:cNvPr id="94" name="CustomShape 1"/>
        <xdr:cNvSpPr/>
      </xdr:nvSpPr>
      <xdr:spPr>
        <a:xfrm>
          <a:off x="4353480" y="83934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95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96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97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9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9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0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0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0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0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0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05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06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07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08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09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10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11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12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13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14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15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16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17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18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19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20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21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22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23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24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125" name="CustomShape 1"/>
        <xdr:cNvSpPr/>
      </xdr:nvSpPr>
      <xdr:spPr>
        <a:xfrm>
          <a:off x="395280" y="83934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126" name="CustomShape 1"/>
        <xdr:cNvSpPr/>
      </xdr:nvSpPr>
      <xdr:spPr>
        <a:xfrm>
          <a:off x="4372560" y="83934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127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128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129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130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131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132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133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134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135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3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3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138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3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4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4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4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4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4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4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4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4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4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4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5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5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5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5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5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5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5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5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5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5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6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6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6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6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6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6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6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6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168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169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170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171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172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173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174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175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176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7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7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179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8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8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8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8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8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8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18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8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8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8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9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9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9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9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9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9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9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9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19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19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0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0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0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0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0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0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0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0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0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209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210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211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212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213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214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215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216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217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1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1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220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2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2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2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2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2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2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2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2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2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3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3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3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3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3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3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3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3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3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3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4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4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4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4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4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4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4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4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4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4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250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251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252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253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254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255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256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257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258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5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6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261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6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6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6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6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6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6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26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6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7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7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7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7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7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7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7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7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7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7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8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8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8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8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8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8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8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8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8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8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9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9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9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9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9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29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29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297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298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299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300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301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302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303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152640</xdr:colOff>
      <xdr:row>133</xdr:row>
      <xdr:rowOff>360</xdr:rowOff>
    </xdr:from>
    <xdr:to>
      <xdr:col>2</xdr:col>
      <xdr:colOff>74880</xdr:colOff>
      <xdr:row>133</xdr:row>
      <xdr:rowOff>720</xdr:rowOff>
    </xdr:to>
    <xdr:sp>
      <xdr:nvSpPr>
        <xdr:cNvPr id="304" name="CustomShape 1" hidden="1"/>
        <xdr:cNvSpPr/>
      </xdr:nvSpPr>
      <xdr:spPr>
        <a:xfrm>
          <a:off x="38556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13</xdr:col>
      <xdr:colOff>390600</xdr:colOff>
      <xdr:row>133</xdr:row>
      <xdr:rowOff>360</xdr:rowOff>
    </xdr:from>
    <xdr:to>
      <xdr:col>13</xdr:col>
      <xdr:colOff>434880</xdr:colOff>
      <xdr:row>133</xdr:row>
      <xdr:rowOff>720</xdr:rowOff>
    </xdr:to>
    <xdr:sp>
      <xdr:nvSpPr>
        <xdr:cNvPr id="305" name="CustomShape 1" hidden="1"/>
        <xdr:cNvSpPr/>
      </xdr:nvSpPr>
      <xdr:spPr>
        <a:xfrm>
          <a:off x="514476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360</xdr:rowOff>
    </xdr:from>
    <xdr:to>
      <xdr:col>2</xdr:col>
      <xdr:colOff>93960</xdr:colOff>
      <xdr:row>133</xdr:row>
      <xdr:rowOff>720</xdr:rowOff>
    </xdr:to>
    <xdr:sp>
      <xdr:nvSpPr>
        <xdr:cNvPr id="306" name="CustomShape 1" hidden="1"/>
        <xdr:cNvSpPr/>
      </xdr:nvSpPr>
      <xdr:spPr>
        <a:xfrm>
          <a:off x="40464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360</xdr:rowOff>
    </xdr:from>
    <xdr:to>
      <xdr:col>11</xdr:col>
      <xdr:colOff>377640</xdr:colOff>
      <xdr:row>133</xdr:row>
      <xdr:rowOff>720</xdr:rowOff>
    </xdr:to>
    <xdr:sp>
      <xdr:nvSpPr>
        <xdr:cNvPr id="307" name="CustomShape 1" hidden="1"/>
        <xdr:cNvSpPr/>
      </xdr:nvSpPr>
      <xdr:spPr>
        <a:xfrm>
          <a:off x="4353480" y="10434960"/>
          <a:ext cx="442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08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09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12</xdr:col>
      <xdr:colOff>305640</xdr:colOff>
      <xdr:row>133</xdr:row>
      <xdr:rowOff>360</xdr:rowOff>
    </xdr:from>
    <xdr:to>
      <xdr:col>13</xdr:col>
      <xdr:colOff>93960</xdr:colOff>
      <xdr:row>133</xdr:row>
      <xdr:rowOff>720</xdr:rowOff>
    </xdr:to>
    <xdr:sp>
      <xdr:nvSpPr>
        <xdr:cNvPr id="310" name="CustomShape 1" hidden="1"/>
        <xdr:cNvSpPr/>
      </xdr:nvSpPr>
      <xdr:spPr>
        <a:xfrm>
          <a:off x="4727520" y="10434960"/>
          <a:ext cx="1206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311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1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1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1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1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1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1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1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19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20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21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22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23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24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25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26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27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28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29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30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31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32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33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34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35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36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37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38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39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40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41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42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43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44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720</xdr:rowOff>
    </xdr:to>
    <xdr:sp>
      <xdr:nvSpPr>
        <xdr:cNvPr id="345" name="CustomShape 1" hidden="1"/>
        <xdr:cNvSpPr/>
      </xdr:nvSpPr>
      <xdr:spPr>
        <a:xfrm>
          <a:off x="395280" y="10434960"/>
          <a:ext cx="113400" cy="36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720</xdr:rowOff>
    </xdr:to>
    <xdr:sp>
      <xdr:nvSpPr>
        <xdr:cNvPr id="346" name="CustomShape 1" hidden="1"/>
        <xdr:cNvSpPr/>
      </xdr:nvSpPr>
      <xdr:spPr>
        <a:xfrm>
          <a:off x="4372560" y="10434960"/>
          <a:ext cx="65880" cy="3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347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348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349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350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351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352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353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354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355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5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5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358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5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6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6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6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6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6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36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6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6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6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6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7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7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7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7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7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7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7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7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7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7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8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8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8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8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8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8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8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8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8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8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9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9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39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39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9360</xdr:rowOff>
    </xdr:from>
    <xdr:to>
      <xdr:col>12</xdr:col>
      <xdr:colOff>16560</xdr:colOff>
      <xdr:row>133</xdr:row>
      <xdr:rowOff>141120</xdr:rowOff>
    </xdr:to>
    <xdr:sp>
      <xdr:nvSpPr>
        <xdr:cNvPr id="394" name="CustomShape 1"/>
        <xdr:cNvSpPr/>
      </xdr:nvSpPr>
      <xdr:spPr>
        <a:xfrm>
          <a:off x="4372560" y="132051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45720</xdr:rowOff>
    </xdr:from>
    <xdr:to>
      <xdr:col>6</xdr:col>
      <xdr:colOff>256320</xdr:colOff>
      <xdr:row>47</xdr:row>
      <xdr:rowOff>113040</xdr:rowOff>
    </xdr:to>
    <xdr:sp>
      <xdr:nvSpPr>
        <xdr:cNvPr id="395" name="CustomShape 1"/>
        <xdr:cNvSpPr/>
      </xdr:nvSpPr>
      <xdr:spPr>
        <a:xfrm>
          <a:off x="1979640" y="7628040"/>
          <a:ext cx="141480" cy="3913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29880</xdr:rowOff>
    </xdr:from>
    <xdr:to>
      <xdr:col>6</xdr:col>
      <xdr:colOff>255960</xdr:colOff>
      <xdr:row>44</xdr:row>
      <xdr:rowOff>123120</xdr:rowOff>
    </xdr:to>
    <xdr:sp>
      <xdr:nvSpPr>
        <xdr:cNvPr id="396" name="CustomShape 1"/>
        <xdr:cNvSpPr/>
      </xdr:nvSpPr>
      <xdr:spPr>
        <a:xfrm>
          <a:off x="2001240" y="7126560"/>
          <a:ext cx="119520" cy="41688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15120</xdr:rowOff>
    </xdr:from>
    <xdr:to>
      <xdr:col>6</xdr:col>
      <xdr:colOff>252360</xdr:colOff>
      <xdr:row>41</xdr:row>
      <xdr:rowOff>122400</xdr:rowOff>
    </xdr:to>
    <xdr:sp>
      <xdr:nvSpPr>
        <xdr:cNvPr id="397" name="CustomShape 1"/>
        <xdr:cNvSpPr/>
      </xdr:nvSpPr>
      <xdr:spPr>
        <a:xfrm>
          <a:off x="1979640" y="64641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13680</xdr:rowOff>
    </xdr:from>
    <xdr:to>
      <xdr:col>6</xdr:col>
      <xdr:colOff>275400</xdr:colOff>
      <xdr:row>37</xdr:row>
      <xdr:rowOff>141480</xdr:rowOff>
    </xdr:to>
    <xdr:sp>
      <xdr:nvSpPr>
        <xdr:cNvPr id="398" name="CustomShape 1"/>
        <xdr:cNvSpPr/>
      </xdr:nvSpPr>
      <xdr:spPr>
        <a:xfrm>
          <a:off x="1960560" y="56530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24480</xdr:rowOff>
    </xdr:from>
    <xdr:to>
      <xdr:col>6</xdr:col>
      <xdr:colOff>284760</xdr:colOff>
      <xdr:row>32</xdr:row>
      <xdr:rowOff>118440</xdr:rowOff>
    </xdr:to>
    <xdr:sp>
      <xdr:nvSpPr>
        <xdr:cNvPr id="399" name="CustomShape 1"/>
        <xdr:cNvSpPr/>
      </xdr:nvSpPr>
      <xdr:spPr>
        <a:xfrm>
          <a:off x="1969920" y="46922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37440</xdr:rowOff>
    </xdr:from>
    <xdr:to>
      <xdr:col>6</xdr:col>
      <xdr:colOff>331200</xdr:colOff>
      <xdr:row>26</xdr:row>
      <xdr:rowOff>131400</xdr:rowOff>
    </xdr:to>
    <xdr:sp>
      <xdr:nvSpPr>
        <xdr:cNvPr id="400" name="CustomShape 1"/>
        <xdr:cNvSpPr/>
      </xdr:nvSpPr>
      <xdr:spPr>
        <a:xfrm>
          <a:off x="1979640" y="357156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0</xdr:rowOff>
    </xdr:from>
    <xdr:to>
      <xdr:col>2</xdr:col>
      <xdr:colOff>93960</xdr:colOff>
      <xdr:row>133</xdr:row>
      <xdr:rowOff>150840</xdr:rowOff>
    </xdr:to>
    <xdr:sp>
      <xdr:nvSpPr>
        <xdr:cNvPr id="401" name="CustomShape 1"/>
        <xdr:cNvSpPr/>
      </xdr:nvSpPr>
      <xdr:spPr>
        <a:xfrm>
          <a:off x="40464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0</xdr:rowOff>
    </xdr:from>
    <xdr:to>
      <xdr:col>11</xdr:col>
      <xdr:colOff>377640</xdr:colOff>
      <xdr:row>133</xdr:row>
      <xdr:rowOff>131760</xdr:rowOff>
    </xdr:to>
    <xdr:sp>
      <xdr:nvSpPr>
        <xdr:cNvPr id="402" name="CustomShape 1"/>
        <xdr:cNvSpPr/>
      </xdr:nvSpPr>
      <xdr:spPr>
        <a:xfrm>
          <a:off x="4353480" y="1319580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03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04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405" name="CustomShape 1"/>
        <xdr:cNvSpPr/>
      </xdr:nvSpPr>
      <xdr:spPr>
        <a:xfrm>
          <a:off x="1998360" y="1085004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06" name="CustomShape 1"/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07" name="CustomShape 1"/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08" name="CustomShape 1"/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09" name="CustomShape 1"/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10" name="CustomShape 1"/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11" name="CustomShape 1"/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12" name="CustomShape 1"/>
        <xdr:cNvSpPr/>
      </xdr:nvSpPr>
      <xdr:spPr>
        <a:xfrm>
          <a:off x="1979640" y="1084032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13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14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15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16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17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18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19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20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21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22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23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24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25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26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27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28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29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30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31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32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33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34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35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36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37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38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0</xdr:rowOff>
    </xdr:from>
    <xdr:to>
      <xdr:col>2</xdr:col>
      <xdr:colOff>84600</xdr:colOff>
      <xdr:row>133</xdr:row>
      <xdr:rowOff>150840</xdr:rowOff>
    </xdr:to>
    <xdr:sp>
      <xdr:nvSpPr>
        <xdr:cNvPr id="439" name="CustomShape 1"/>
        <xdr:cNvSpPr/>
      </xdr:nvSpPr>
      <xdr:spPr>
        <a:xfrm>
          <a:off x="395280" y="1319580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0</xdr:rowOff>
    </xdr:from>
    <xdr:to>
      <xdr:col>12</xdr:col>
      <xdr:colOff>16560</xdr:colOff>
      <xdr:row>133</xdr:row>
      <xdr:rowOff>131760</xdr:rowOff>
    </xdr:to>
    <xdr:sp>
      <xdr:nvSpPr>
        <xdr:cNvPr id="440" name="CustomShape 1"/>
        <xdr:cNvSpPr/>
      </xdr:nvSpPr>
      <xdr:spPr>
        <a:xfrm>
          <a:off x="4372560" y="1319580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441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442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443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444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445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446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447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448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449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5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5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452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5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5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5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5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5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5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45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6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6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6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6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6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6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6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6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6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6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7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7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7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7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7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7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7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7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7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7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8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8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8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8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8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8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8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8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8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8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9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9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49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49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494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495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496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497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498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499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500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501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502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0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0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505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0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0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0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0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1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1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1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1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1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1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1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1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1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1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2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2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2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2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2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2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2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2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2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2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3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3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3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3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3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3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3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3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3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3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4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4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4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4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4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4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4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547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548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549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550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551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552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553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554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555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5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5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558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5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6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6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6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6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6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56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6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6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6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6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7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7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7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7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7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7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7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7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7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7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8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8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8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8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8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8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8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8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8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8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9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9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9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9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9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9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9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9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59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59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600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601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602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603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604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605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606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607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608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0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1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611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1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1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1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1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1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1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1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1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2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2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2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2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2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2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2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2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2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2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3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3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3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3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3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3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3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3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3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3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4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4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4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4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4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4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4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4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4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4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5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5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5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653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654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655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656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657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658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659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660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661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6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6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664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6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6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6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6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6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7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67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7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7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7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7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7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7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7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7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8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8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8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8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8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8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8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8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8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8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9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9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9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9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9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9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9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9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69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69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0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0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0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0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0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0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706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707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708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709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710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711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712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713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714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1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1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717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1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1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2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2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2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2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2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2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2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2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2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2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3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3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3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3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3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3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3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3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3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3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4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4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4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4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4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4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4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4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4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4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5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5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5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5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5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5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5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5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5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759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760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761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762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763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764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765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766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767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6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6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770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7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7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7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7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7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7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77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7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7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8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8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8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8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8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8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8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8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8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8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9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9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9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9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9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9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9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9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79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79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0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0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0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0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0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0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0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0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0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0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1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1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812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813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814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815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816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817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818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819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820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2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2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823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24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25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26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2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2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2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3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3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3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3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3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3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3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3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3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3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4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4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4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4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4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4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4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4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4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4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5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5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5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5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5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55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56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57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58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59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60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61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62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63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64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11</xdr:col>
      <xdr:colOff>352440</xdr:colOff>
      <xdr:row>133</xdr:row>
      <xdr:rowOff>10080</xdr:rowOff>
    </xdr:from>
    <xdr:to>
      <xdr:col>12</xdr:col>
      <xdr:colOff>16560</xdr:colOff>
      <xdr:row>133</xdr:row>
      <xdr:rowOff>141840</xdr:rowOff>
    </xdr:to>
    <xdr:sp>
      <xdr:nvSpPr>
        <xdr:cNvPr id="865" name="CustomShape 1"/>
        <xdr:cNvSpPr/>
      </xdr:nvSpPr>
      <xdr:spPr>
        <a:xfrm>
          <a:off x="4372560" y="1044468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866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867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868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869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870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871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171720</xdr:colOff>
      <xdr:row>133</xdr:row>
      <xdr:rowOff>720</xdr:rowOff>
    </xdr:from>
    <xdr:to>
      <xdr:col>2</xdr:col>
      <xdr:colOff>93960</xdr:colOff>
      <xdr:row>133</xdr:row>
      <xdr:rowOff>151560</xdr:rowOff>
    </xdr:to>
    <xdr:sp>
      <xdr:nvSpPr>
        <xdr:cNvPr id="872" name="CustomShape 1"/>
        <xdr:cNvSpPr/>
      </xdr:nvSpPr>
      <xdr:spPr>
        <a:xfrm>
          <a:off x="40464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333360</xdr:colOff>
      <xdr:row>133</xdr:row>
      <xdr:rowOff>720</xdr:rowOff>
    </xdr:from>
    <xdr:to>
      <xdr:col>11</xdr:col>
      <xdr:colOff>377640</xdr:colOff>
      <xdr:row>133</xdr:row>
      <xdr:rowOff>132480</xdr:rowOff>
    </xdr:to>
    <xdr:sp>
      <xdr:nvSpPr>
        <xdr:cNvPr id="873" name="CustomShape 1"/>
        <xdr:cNvSpPr/>
      </xdr:nvSpPr>
      <xdr:spPr>
        <a:xfrm>
          <a:off x="4353480" y="10435320"/>
          <a:ext cx="442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7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7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876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7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7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7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8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8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8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88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8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8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8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8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8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8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9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9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9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9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9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9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9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9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89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89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90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90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90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90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90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90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90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90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908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909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910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911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912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913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914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915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720</xdr:rowOff>
    </xdr:from>
    <xdr:to>
      <xdr:col>2</xdr:col>
      <xdr:colOff>84600</xdr:colOff>
      <xdr:row>133</xdr:row>
      <xdr:rowOff>151560</xdr:rowOff>
    </xdr:to>
    <xdr:sp>
      <xdr:nvSpPr>
        <xdr:cNvPr id="916" name="CustomShape 1"/>
        <xdr:cNvSpPr/>
      </xdr:nvSpPr>
      <xdr:spPr>
        <a:xfrm>
          <a:off x="395280" y="1043532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720</xdr:rowOff>
    </xdr:from>
    <xdr:to>
      <xdr:col>12</xdr:col>
      <xdr:colOff>16560</xdr:colOff>
      <xdr:row>133</xdr:row>
      <xdr:rowOff>132480</xdr:rowOff>
    </xdr:to>
    <xdr:sp>
      <xdr:nvSpPr>
        <xdr:cNvPr id="917" name="CustomShape 1"/>
        <xdr:cNvSpPr/>
      </xdr:nvSpPr>
      <xdr:spPr>
        <a:xfrm>
          <a:off x="4372560" y="1043532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6</xdr:col>
      <xdr:colOff>114840</xdr:colOff>
      <xdr:row>45</xdr:row>
      <xdr:rowOff>45000</xdr:rowOff>
    </xdr:from>
    <xdr:to>
      <xdr:col>6</xdr:col>
      <xdr:colOff>256320</xdr:colOff>
      <xdr:row>47</xdr:row>
      <xdr:rowOff>113760</xdr:rowOff>
    </xdr:to>
    <xdr:sp>
      <xdr:nvSpPr>
        <xdr:cNvPr id="918" name="CustomShape 1"/>
        <xdr:cNvSpPr/>
      </xdr:nvSpPr>
      <xdr:spPr>
        <a:xfrm>
          <a:off x="1979640" y="7628760"/>
          <a:ext cx="141480" cy="3924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136440</xdr:colOff>
      <xdr:row>42</xdr:row>
      <xdr:rowOff>30600</xdr:rowOff>
    </xdr:from>
    <xdr:to>
      <xdr:col>6</xdr:col>
      <xdr:colOff>255960</xdr:colOff>
      <xdr:row>44</xdr:row>
      <xdr:rowOff>122400</xdr:rowOff>
    </xdr:to>
    <xdr:sp>
      <xdr:nvSpPr>
        <xdr:cNvPr id="919" name="CustomShape 1"/>
        <xdr:cNvSpPr/>
      </xdr:nvSpPr>
      <xdr:spPr>
        <a:xfrm>
          <a:off x="2001240" y="7128360"/>
          <a:ext cx="119520" cy="4158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38</xdr:row>
      <xdr:rowOff>15840</xdr:rowOff>
    </xdr:from>
    <xdr:to>
      <xdr:col>6</xdr:col>
      <xdr:colOff>252360</xdr:colOff>
      <xdr:row>41</xdr:row>
      <xdr:rowOff>123120</xdr:rowOff>
    </xdr:to>
    <xdr:sp>
      <xdr:nvSpPr>
        <xdr:cNvPr id="920" name="CustomShape 1"/>
        <xdr:cNvSpPr/>
      </xdr:nvSpPr>
      <xdr:spPr>
        <a:xfrm>
          <a:off x="1979640" y="6465960"/>
          <a:ext cx="137520" cy="59292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95760</xdr:colOff>
      <xdr:row>33</xdr:row>
      <xdr:rowOff>14400</xdr:rowOff>
    </xdr:from>
    <xdr:to>
      <xdr:col>6</xdr:col>
      <xdr:colOff>275400</xdr:colOff>
      <xdr:row>37</xdr:row>
      <xdr:rowOff>142200</xdr:rowOff>
    </xdr:to>
    <xdr:sp>
      <xdr:nvSpPr>
        <xdr:cNvPr id="921" name="CustomShape 1"/>
        <xdr:cNvSpPr/>
      </xdr:nvSpPr>
      <xdr:spPr>
        <a:xfrm>
          <a:off x="1960560" y="5654880"/>
          <a:ext cx="179640" cy="77544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105120</xdr:colOff>
      <xdr:row>27</xdr:row>
      <xdr:rowOff>25200</xdr:rowOff>
    </xdr:from>
    <xdr:to>
      <xdr:col>6</xdr:col>
      <xdr:colOff>284760</xdr:colOff>
      <xdr:row>32</xdr:row>
      <xdr:rowOff>119160</xdr:rowOff>
    </xdr:to>
    <xdr:sp>
      <xdr:nvSpPr>
        <xdr:cNvPr id="922" name="CustomShape 1"/>
        <xdr:cNvSpPr/>
      </xdr:nvSpPr>
      <xdr:spPr>
        <a:xfrm>
          <a:off x="1969920" y="4694040"/>
          <a:ext cx="179640" cy="903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20</xdr:row>
      <xdr:rowOff>36720</xdr:rowOff>
    </xdr:from>
    <xdr:to>
      <xdr:col>6</xdr:col>
      <xdr:colOff>331200</xdr:colOff>
      <xdr:row>26</xdr:row>
      <xdr:rowOff>130680</xdr:rowOff>
    </xdr:to>
    <xdr:sp>
      <xdr:nvSpPr>
        <xdr:cNvPr id="923" name="CustomShape 1"/>
        <xdr:cNvSpPr/>
      </xdr:nvSpPr>
      <xdr:spPr>
        <a:xfrm>
          <a:off x="1979640" y="3572280"/>
          <a:ext cx="216360" cy="106560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>
      <xdr:nvSpPr>
        <xdr:cNvPr id="924" name="CustomShape 1"/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25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133560</xdr:colOff>
      <xdr:row>65</xdr:row>
      <xdr:rowOff>19800</xdr:rowOff>
    </xdr:from>
    <xdr:to>
      <xdr:col>6</xdr:col>
      <xdr:colOff>255960</xdr:colOff>
      <xdr:row>65</xdr:row>
      <xdr:rowOff>151560</xdr:rowOff>
    </xdr:to>
    <xdr:sp>
      <xdr:nvSpPr>
        <xdr:cNvPr id="926" name="CustomShape 1"/>
        <xdr:cNvSpPr/>
      </xdr:nvSpPr>
      <xdr:spPr>
        <a:xfrm>
          <a:off x="1998360" y="808920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927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928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929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930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931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932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114840</xdr:colOff>
      <xdr:row>65</xdr:row>
      <xdr:rowOff>10080</xdr:rowOff>
    </xdr:from>
    <xdr:to>
      <xdr:col>6</xdr:col>
      <xdr:colOff>237240</xdr:colOff>
      <xdr:row>65</xdr:row>
      <xdr:rowOff>141840</xdr:rowOff>
    </xdr:to>
    <xdr:sp>
      <xdr:nvSpPr>
        <xdr:cNvPr id="933" name="CustomShape 1"/>
        <xdr:cNvSpPr/>
      </xdr:nvSpPr>
      <xdr:spPr>
        <a:xfrm>
          <a:off x="1979640" y="8079480"/>
          <a:ext cx="122400" cy="131760"/>
        </a:xfrm>
        <a:prstGeom prst="leftBrace">
          <a:avLst>
            <a:gd name="adj1" fmla="val 13542"/>
            <a:gd name="adj2" fmla="val 50000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>
      <xdr:nvSpPr>
        <xdr:cNvPr id="934" name="CustomShape 1"/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35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>
      <xdr:nvSpPr>
        <xdr:cNvPr id="936" name="CustomShape 1"/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37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>
      <xdr:nvSpPr>
        <xdr:cNvPr id="938" name="CustomShape 1"/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39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</xdr:col>
      <xdr:colOff>162360</xdr:colOff>
      <xdr:row>133</xdr:row>
      <xdr:rowOff>360</xdr:rowOff>
    </xdr:from>
    <xdr:to>
      <xdr:col>2</xdr:col>
      <xdr:colOff>84600</xdr:colOff>
      <xdr:row>133</xdr:row>
      <xdr:rowOff>151200</xdr:rowOff>
    </xdr:to>
    <xdr:sp>
      <xdr:nvSpPr>
        <xdr:cNvPr id="940" name="CustomShape 1"/>
        <xdr:cNvSpPr/>
      </xdr:nvSpPr>
      <xdr:spPr>
        <a:xfrm>
          <a:off x="395280" y="10434960"/>
          <a:ext cx="113400" cy="150840"/>
        </a:xfrm>
        <a:prstGeom prst="leftBracket">
          <a:avLst>
            <a:gd name="adj" fmla="val 14259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41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42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43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44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45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352440</xdr:colOff>
      <xdr:row>133</xdr:row>
      <xdr:rowOff>360</xdr:rowOff>
    </xdr:from>
    <xdr:to>
      <xdr:col>12</xdr:col>
      <xdr:colOff>16560</xdr:colOff>
      <xdr:row>133</xdr:row>
      <xdr:rowOff>132120</xdr:rowOff>
    </xdr:to>
    <xdr:sp>
      <xdr:nvSpPr>
        <xdr:cNvPr id="946" name="CustomShape 1"/>
        <xdr:cNvSpPr/>
      </xdr:nvSpPr>
      <xdr:spPr>
        <a:xfrm>
          <a:off x="4372560" y="10434960"/>
          <a:ext cx="65880" cy="131760"/>
        </a:xfrm>
        <a:prstGeom prst="rightBracket">
          <a:avLst>
            <a:gd name="adj" fmla="val 433333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495360</xdr:colOff>
      <xdr:row>39</xdr:row>
      <xdr:rowOff>57240</xdr:rowOff>
    </xdr:from>
    <xdr:to>
      <xdr:col>0</xdr:col>
      <xdr:colOff>579600</xdr:colOff>
      <xdr:row>48</xdr:row>
      <xdr:rowOff>141840</xdr:rowOff>
    </xdr:to>
    <xdr:sp>
      <xdr:nvSpPr>
        <xdr:cNvPr id="947" name="CustomShape 1"/>
        <xdr:cNvSpPr/>
      </xdr:nvSpPr>
      <xdr:spPr>
        <a:xfrm>
          <a:off x="495360" y="6467400"/>
          <a:ext cx="84240" cy="15418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0</xdr:colOff>
      <xdr:row>39</xdr:row>
      <xdr:rowOff>47520</xdr:rowOff>
    </xdr:from>
    <xdr:to>
      <xdr:col>11</xdr:col>
      <xdr:colOff>122400</xdr:colOff>
      <xdr:row>48</xdr:row>
      <xdr:rowOff>132120</xdr:rowOff>
    </xdr:to>
    <xdr:sp>
      <xdr:nvSpPr>
        <xdr:cNvPr id="948" name="CustomShape 1"/>
        <xdr:cNvSpPr/>
      </xdr:nvSpPr>
      <xdr:spPr>
        <a:xfrm>
          <a:off x="5362560" y="6457680"/>
          <a:ext cx="122400" cy="154188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504720</xdr:colOff>
      <xdr:row>50</xdr:row>
      <xdr:rowOff>9360</xdr:rowOff>
    </xdr:from>
    <xdr:to>
      <xdr:col>0</xdr:col>
      <xdr:colOff>623160</xdr:colOff>
      <xdr:row>59</xdr:row>
      <xdr:rowOff>131760</xdr:rowOff>
    </xdr:to>
    <xdr:sp>
      <xdr:nvSpPr>
        <xdr:cNvPr id="949" name="CustomShape 1"/>
        <xdr:cNvSpPr/>
      </xdr:nvSpPr>
      <xdr:spPr>
        <a:xfrm>
          <a:off x="504720" y="8200800"/>
          <a:ext cx="118440" cy="157968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9360</xdr:colOff>
      <xdr:row>50</xdr:row>
      <xdr:rowOff>0</xdr:rowOff>
    </xdr:from>
    <xdr:to>
      <xdr:col>11</xdr:col>
      <xdr:colOff>131760</xdr:colOff>
      <xdr:row>58</xdr:row>
      <xdr:rowOff>141840</xdr:rowOff>
    </xdr:to>
    <xdr:sp>
      <xdr:nvSpPr>
        <xdr:cNvPr id="950" name="CustomShape 1"/>
        <xdr:cNvSpPr/>
      </xdr:nvSpPr>
      <xdr:spPr>
        <a:xfrm>
          <a:off x="5371920" y="8191440"/>
          <a:ext cx="122400" cy="14371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504720</xdr:colOff>
      <xdr:row>4</xdr:row>
      <xdr:rowOff>9360</xdr:rowOff>
    </xdr:from>
    <xdr:to>
      <xdr:col>0</xdr:col>
      <xdr:colOff>579600</xdr:colOff>
      <xdr:row>14</xdr:row>
      <xdr:rowOff>17280</xdr:rowOff>
    </xdr:to>
    <xdr:sp>
      <xdr:nvSpPr>
        <xdr:cNvPr id="951" name="CustomShape 1"/>
        <xdr:cNvSpPr/>
      </xdr:nvSpPr>
      <xdr:spPr>
        <a:xfrm>
          <a:off x="504720" y="723600"/>
          <a:ext cx="74880" cy="162720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11</xdr:col>
      <xdr:colOff>0</xdr:colOff>
      <xdr:row>4</xdr:row>
      <xdr:rowOff>0</xdr:rowOff>
    </xdr:from>
    <xdr:to>
      <xdr:col>11</xdr:col>
      <xdr:colOff>141480</xdr:colOff>
      <xdr:row>13</xdr:row>
      <xdr:rowOff>160920</xdr:rowOff>
    </xdr:to>
    <xdr:sp>
      <xdr:nvSpPr>
        <xdr:cNvPr id="952" name="CustomShape 1"/>
        <xdr:cNvSpPr/>
      </xdr:nvSpPr>
      <xdr:spPr>
        <a:xfrm>
          <a:off x="5362560" y="714240"/>
          <a:ext cx="141480" cy="161820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0</xdr:col>
      <xdr:colOff>476280</xdr:colOff>
      <xdr:row>27</xdr:row>
      <xdr:rowOff>9360</xdr:rowOff>
    </xdr:from>
    <xdr:to>
      <xdr:col>0</xdr:col>
      <xdr:colOff>570240</xdr:colOff>
      <xdr:row>36</xdr:row>
      <xdr:rowOff>141120</xdr:rowOff>
    </xdr:to>
    <xdr:sp>
      <xdr:nvSpPr>
        <xdr:cNvPr id="953" name="CustomShape 1"/>
        <xdr:cNvSpPr/>
      </xdr:nvSpPr>
      <xdr:spPr>
        <a:xfrm>
          <a:off x="476280" y="4457520"/>
          <a:ext cx="93960" cy="1589040"/>
        </a:xfrm>
        <a:prstGeom prst="leftBracket">
          <a:avLst>
            <a:gd name="adj" fmla="val 124074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10</xdr:col>
      <xdr:colOff>447840</xdr:colOff>
      <xdr:row>27</xdr:row>
      <xdr:rowOff>0</xdr:rowOff>
    </xdr:from>
    <xdr:to>
      <xdr:col>11</xdr:col>
      <xdr:colOff>141480</xdr:colOff>
      <xdr:row>36</xdr:row>
      <xdr:rowOff>113040</xdr:rowOff>
    </xdr:to>
    <xdr:sp>
      <xdr:nvSpPr>
        <xdr:cNvPr id="954" name="CustomShape 1"/>
        <xdr:cNvSpPr/>
      </xdr:nvSpPr>
      <xdr:spPr>
        <a:xfrm>
          <a:off x="5336640" y="4448160"/>
          <a:ext cx="167400" cy="1570320"/>
        </a:xfrm>
        <a:prstGeom prst="rightBracket">
          <a:avLst>
            <a:gd name="adj" fmla="val 86538"/>
          </a:avLst>
        </a:prstGeom>
        <a:noFill/>
        <a:ln w="936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32</xdr:col>
      <xdr:colOff>28440</xdr:colOff>
      <xdr:row>50</xdr:row>
      <xdr:rowOff>9360</xdr:rowOff>
    </xdr:from>
    <xdr:to>
      <xdr:col>32</xdr:col>
      <xdr:colOff>465120</xdr:colOff>
      <xdr:row>66</xdr:row>
      <xdr:rowOff>160560</xdr:rowOff>
    </xdr:to>
    <xdr:graphicFrame>
      <xdr:nvGraphicFramePr>
        <xdr:cNvPr id="955" name="Chart 11"/>
        <xdr:cNvGraphicFramePr/>
      </xdr:nvGraphicFramePr>
      <xdr:xfrm>
        <a:off x="6539040" y="8200800"/>
        <a:ext cx="436680" cy="2741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creativecommons.org/licenses/by-nc/3.0/sg/" TargetMode="External"/><Relationship Id="rId2" Type="http://schemas.openxmlformats.org/officeDocument/2006/relationships/hyperlink" Target="https://bpmsg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bpmsg.com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0" colorId="64" zoomScale="110" zoomScaleNormal="110" zoomScalePageLayoutView="100" workbookViewId="0">
      <selection pane="topLeft" activeCell="A10" activeCellId="0" sqref="A10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13.43"/>
    <col collapsed="false" customWidth="true" hidden="false" outlineLevel="0" max="2" min="2" style="0" width="50.87"/>
    <col collapsed="false" customWidth="true" hidden="false" outlineLevel="0" max="5" min="5" style="0" width="3.98"/>
  </cols>
  <sheetData>
    <row r="1" customFormat="false" ht="32.25" hidden="false" customHeight="true" outlineLevel="0" collapsed="false">
      <c r="A1" s="1" t="s">
        <v>0</v>
      </c>
      <c r="B1" s="1"/>
      <c r="C1" s="1"/>
      <c r="D1" s="1"/>
      <c r="E1" s="1"/>
    </row>
    <row r="2" customFormat="false" ht="12.75" hidden="false" customHeight="false" outlineLevel="0" collapsed="false">
      <c r="A2" s="2" t="s">
        <v>1</v>
      </c>
    </row>
    <row r="3" customFormat="false" ht="12.75" hidden="false" customHeight="false" outlineLevel="0" collapsed="false">
      <c r="A3" s="2" t="s">
        <v>2</v>
      </c>
    </row>
    <row r="4" customFormat="false" ht="12.75" hidden="false" customHeight="false" outlineLevel="0" collapsed="false">
      <c r="A4" s="3" t="s">
        <v>3</v>
      </c>
    </row>
    <row r="5" customFormat="false" ht="12.75" hidden="false" customHeight="false" outlineLevel="0" collapsed="false">
      <c r="A5" s="0" t="s">
        <v>4</v>
      </c>
    </row>
    <row r="6" customFormat="false" ht="12.75" hidden="false" customHeight="false" outlineLevel="0" collapsed="false">
      <c r="A6" s="0" t="s">
        <v>5</v>
      </c>
    </row>
    <row r="8" customFormat="false" ht="12.75" hidden="false" customHeight="false" outlineLevel="0" collapsed="false">
      <c r="A8" s="2" t="s">
        <v>6</v>
      </c>
      <c r="B8" s="4" t="s">
        <v>7</v>
      </c>
    </row>
    <row r="9" customFormat="false" ht="12.8" hidden="false" customHeight="false" outlineLevel="0" collapsed="false">
      <c r="B9" s="3" t="s">
        <v>8</v>
      </c>
    </row>
    <row r="10" customFormat="false" ht="12.75" hidden="false" customHeight="false" outlineLevel="0" collapsed="false">
      <c r="A10" s="2" t="s">
        <v>9</v>
      </c>
    </row>
    <row r="11" customFormat="false" ht="12.75" hidden="false" customHeight="false" outlineLevel="0" collapsed="false">
      <c r="A11" s="5" t="s">
        <v>10</v>
      </c>
      <c r="B11" s="5" t="s">
        <v>11</v>
      </c>
    </row>
    <row r="12" customFormat="false" ht="31.5" hidden="false" customHeight="true" outlineLevel="0" collapsed="false">
      <c r="A12" s="6" t="n">
        <v>40973</v>
      </c>
      <c r="B12" s="7" t="s">
        <v>12</v>
      </c>
    </row>
    <row r="13" customFormat="false" ht="12.75" hidden="true" customHeight="false" outlineLevel="1" collapsed="false">
      <c r="A13" s="8" t="n">
        <v>41006</v>
      </c>
      <c r="B13" s="9" t="s">
        <v>13</v>
      </c>
    </row>
    <row r="14" customFormat="false" ht="25.5" hidden="true" customHeight="false" outlineLevel="1" collapsed="false">
      <c r="A14" s="6" t="n">
        <v>41038</v>
      </c>
      <c r="B14" s="10" t="s">
        <v>14</v>
      </c>
    </row>
    <row r="15" customFormat="false" ht="12.75" hidden="true" customHeight="false" outlineLevel="1" collapsed="false">
      <c r="A15" s="8" t="n">
        <v>41051</v>
      </c>
      <c r="B15" s="9" t="s">
        <v>15</v>
      </c>
    </row>
    <row r="16" customFormat="false" ht="42.75" hidden="true" customHeight="true" outlineLevel="1" collapsed="false">
      <c r="A16" s="11" t="s">
        <v>16</v>
      </c>
      <c r="B16" s="12" t="s">
        <v>17</v>
      </c>
    </row>
    <row r="17" customFormat="false" ht="38.25" hidden="false" customHeight="false" outlineLevel="0" collapsed="false">
      <c r="A17" s="11" t="s">
        <v>18</v>
      </c>
      <c r="B17" s="7" t="s">
        <v>19</v>
      </c>
    </row>
    <row r="18" customFormat="false" ht="54.75" hidden="true" customHeight="true" outlineLevel="1" collapsed="false">
      <c r="A18" s="6" t="n">
        <v>41301</v>
      </c>
      <c r="B18" s="7" t="s">
        <v>20</v>
      </c>
    </row>
    <row r="19" customFormat="false" ht="16.5" hidden="true" customHeight="true" outlineLevel="1" collapsed="false">
      <c r="A19" s="6" t="n">
        <v>41302</v>
      </c>
      <c r="B19" s="7" t="s">
        <v>21</v>
      </c>
    </row>
    <row r="20" customFormat="false" ht="38.25" hidden="true" customHeight="false" outlineLevel="1" collapsed="false">
      <c r="A20" s="6" t="n">
        <v>41303</v>
      </c>
      <c r="B20" s="10" t="s">
        <v>22</v>
      </c>
    </row>
    <row r="21" customFormat="false" ht="25.5" hidden="true" customHeight="false" outlineLevel="1" collapsed="false">
      <c r="A21" s="6" t="n">
        <v>41305</v>
      </c>
      <c r="B21" s="10" t="s">
        <v>23</v>
      </c>
    </row>
    <row r="22" customFormat="false" ht="12.75" hidden="true" customHeight="false" outlineLevel="1" collapsed="false">
      <c r="A22" s="6" t="n">
        <v>41312</v>
      </c>
      <c r="B22" s="10" t="s">
        <v>24</v>
      </c>
    </row>
    <row r="23" customFormat="false" ht="25.5" hidden="false" customHeight="false" outlineLevel="0" collapsed="false">
      <c r="A23" s="11" t="s">
        <v>25</v>
      </c>
      <c r="B23" s="10" t="s">
        <v>26</v>
      </c>
    </row>
    <row r="24" customFormat="false" ht="12.75" hidden="false" customHeight="false" outlineLevel="0" collapsed="false">
      <c r="A24" s="6" t="n">
        <v>41324</v>
      </c>
      <c r="B24" s="10" t="s">
        <v>27</v>
      </c>
    </row>
    <row r="25" customFormat="false" ht="38.25" hidden="false" customHeight="false" outlineLevel="0" collapsed="false">
      <c r="A25" s="6" t="n">
        <v>41401</v>
      </c>
      <c r="B25" s="10" t="s">
        <v>28</v>
      </c>
    </row>
    <row r="26" customFormat="false" ht="38.25" hidden="true" customHeight="false" outlineLevel="1" collapsed="false">
      <c r="A26" s="6" t="n">
        <v>41402</v>
      </c>
      <c r="B26" s="10" t="s">
        <v>29</v>
      </c>
    </row>
    <row r="27" customFormat="false" ht="38.25" hidden="true" customHeight="false" outlineLevel="1" collapsed="false">
      <c r="A27" s="6" t="n">
        <v>41425</v>
      </c>
      <c r="B27" s="10" t="s">
        <v>30</v>
      </c>
    </row>
    <row r="28" customFormat="false" ht="38.25" hidden="true" customHeight="false" outlineLevel="1" collapsed="false">
      <c r="A28" s="6" t="n">
        <v>41498</v>
      </c>
      <c r="B28" s="10" t="s">
        <v>31</v>
      </c>
    </row>
    <row r="29" customFormat="false" ht="25.5" hidden="false" customHeight="false" outlineLevel="0" collapsed="false">
      <c r="A29" s="13" t="n">
        <v>41632</v>
      </c>
      <c r="B29" s="14" t="s">
        <v>32</v>
      </c>
    </row>
    <row r="30" customFormat="false" ht="12.75" hidden="false" customHeight="false" outlineLevel="0" collapsed="false">
      <c r="A30" s="13" t="n">
        <v>41768</v>
      </c>
      <c r="B30" s="14" t="s">
        <v>33</v>
      </c>
    </row>
    <row r="31" customFormat="false" ht="12.75" hidden="false" customHeight="false" outlineLevel="0" collapsed="false">
      <c r="A31" s="13" t="n">
        <v>41846</v>
      </c>
      <c r="B31" s="14" t="s">
        <v>34</v>
      </c>
    </row>
    <row r="32" customFormat="false" ht="51" hidden="false" customHeight="false" outlineLevel="0" collapsed="false">
      <c r="A32" s="13" t="n">
        <v>42103</v>
      </c>
      <c r="B32" s="14" t="s">
        <v>35</v>
      </c>
    </row>
    <row r="33" customFormat="false" ht="25.5" hidden="false" customHeight="false" outlineLevel="0" collapsed="false">
      <c r="A33" s="13" t="n">
        <v>42162</v>
      </c>
      <c r="B33" s="14" t="s">
        <v>36</v>
      </c>
    </row>
    <row r="34" customFormat="false" ht="12.8" hidden="false" customHeight="false" outlineLevel="0" collapsed="false">
      <c r="A34" s="13" t="n">
        <v>42494</v>
      </c>
      <c r="B34" s="14" t="s">
        <v>37</v>
      </c>
    </row>
    <row r="35" customFormat="false" ht="12.75" hidden="false" customHeight="false" outlineLevel="0" collapsed="false">
      <c r="A35" s="13" t="n">
        <v>42859</v>
      </c>
      <c r="B35" s="14" t="s">
        <v>38</v>
      </c>
    </row>
    <row r="36" customFormat="false" ht="41.25" hidden="false" customHeight="true" outlineLevel="0" collapsed="false">
      <c r="A36" s="15" t="n">
        <v>43334</v>
      </c>
      <c r="B36" s="16" t="s">
        <v>39</v>
      </c>
    </row>
    <row r="37" customFormat="false" ht="12.8" hidden="false" customHeight="false" outlineLevel="0" collapsed="false">
      <c r="A37" s="15" t="n">
        <v>43358</v>
      </c>
      <c r="B37" s="17" t="s">
        <v>40</v>
      </c>
    </row>
    <row r="38" customFormat="false" ht="12.75" hidden="false" customHeight="false" outlineLevel="0" collapsed="false">
      <c r="A38" s="18"/>
      <c r="B38" s="19" t="s">
        <v>41</v>
      </c>
    </row>
    <row r="39" customFormat="false" ht="12.75" hidden="false" customHeight="false" outlineLevel="0" collapsed="false">
      <c r="A39" s="20"/>
      <c r="B39" s="21" t="s">
        <v>42</v>
      </c>
    </row>
    <row r="40" customFormat="false" ht="12.8" hidden="false" customHeight="false" outlineLevel="0" collapsed="false">
      <c r="A40" s="22" t="n">
        <v>44749</v>
      </c>
      <c r="B40" s="23" t="s">
        <v>43</v>
      </c>
    </row>
    <row r="41" customFormat="false" ht="24.4" hidden="false" customHeight="false" outlineLevel="0" collapsed="false">
      <c r="A41" s="24" t="n">
        <v>44750</v>
      </c>
      <c r="B41" s="25" t="s">
        <v>44</v>
      </c>
    </row>
  </sheetData>
  <sheetProtection sheet="true" objects="true" scenarios="true"/>
  <mergeCells count="1">
    <mergeCell ref="A1:E1"/>
  </mergeCells>
  <hyperlinks>
    <hyperlink ref="A4" r:id="rId1" display="http://creativecommons.org/licenses/by-nc/3.0/sg/ "/>
    <hyperlink ref="B9" r:id="rId2" display="https://bpmsg.com"/>
  </hyperlink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N107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11" activeCellId="0" sqref="B11"/>
    </sheetView>
  </sheetViews>
  <sheetFormatPr defaultColWidth="8.90234375" defaultRowHeight="12.75" zeroHeight="false" outlineLevelRow="1" outlineLevelCol="1"/>
  <cols>
    <col collapsed="false" customWidth="true" hidden="false" outlineLevel="0" max="1" min="1" style="0" width="9.42"/>
    <col collapsed="false" customWidth="true" hidden="false" outlineLevel="0" max="2" min="2" style="0" width="2.71"/>
    <col collapsed="false" customWidth="true" hidden="false" outlineLevel="0" max="12" min="3" style="0" width="5.14"/>
    <col collapsed="false" customWidth="true" hidden="false" outlineLevel="0" max="13" min="13" style="0" width="6.71"/>
    <col collapsed="false" customWidth="true" hidden="false" outlineLevel="0" max="14" min="14" style="0" width="1.42"/>
    <col collapsed="false" customWidth="true" hidden="false" outlineLevel="0" max="16" min="15" style="0" width="7.71"/>
    <col collapsed="false" customWidth="true" hidden="false" outlineLevel="0" max="18" min="17" style="0" width="3.86"/>
    <col collapsed="false" customWidth="true" hidden="true" outlineLevel="1" max="29" min="19" style="0" width="5.86"/>
    <col collapsed="false" customWidth="true" hidden="false" outlineLevel="0" max="30" min="30" style="0" width="9.13"/>
    <col collapsed="false" customWidth="true" hidden="false" outlineLevel="0" max="31" min="31" style="0" width="4.29"/>
    <col collapsed="false" customWidth="true" hidden="false" outlineLevel="0" max="32" min="32" style="0" width="5.86"/>
  </cols>
  <sheetData>
    <row r="1" customFormat="false" ht="18" hidden="false" customHeight="false" outlineLevel="0" collapsed="false">
      <c r="A1" s="26" t="s">
        <v>45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customFormat="false" ht="12.8" hidden="false" customHeight="false" outlineLevel="0" collapsed="false">
      <c r="A2" s="28" t="s">
        <v>46</v>
      </c>
      <c r="B2" s="27"/>
      <c r="C2" s="27"/>
      <c r="D2" s="27"/>
      <c r="E2" s="27"/>
      <c r="G2" s="2" t="s">
        <v>47</v>
      </c>
      <c r="H2" s="27"/>
      <c r="I2" s="27"/>
      <c r="J2" s="27"/>
      <c r="K2" s="27"/>
      <c r="L2" s="27"/>
      <c r="M2" s="29" t="s">
        <v>8</v>
      </c>
      <c r="N2" s="27"/>
      <c r="O2" s="27"/>
      <c r="P2" s="27"/>
      <c r="Q2" s="27"/>
      <c r="R2" s="27"/>
      <c r="T2" s="30" t="n">
        <v>1</v>
      </c>
      <c r="U2" s="30" t="n">
        <v>2</v>
      </c>
      <c r="V2" s="30" t="n">
        <v>3</v>
      </c>
      <c r="W2" s="30" t="n">
        <v>4</v>
      </c>
      <c r="X2" s="30" t="n">
        <v>5</v>
      </c>
      <c r="Y2" s="30" t="n">
        <v>6</v>
      </c>
      <c r="Z2" s="30" t="n">
        <v>7</v>
      </c>
      <c r="AA2" s="30" t="n">
        <v>8</v>
      </c>
    </row>
    <row r="3" customFormat="false" ht="12.75" hidden="false" customHeight="false" outlineLevel="0" collapsed="false">
      <c r="A3" s="27"/>
      <c r="B3" s="31" t="s">
        <v>48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32"/>
      <c r="R3" s="32"/>
      <c r="T3" s="33" t="s">
        <v>49</v>
      </c>
      <c r="U3" s="33" t="s">
        <v>50</v>
      </c>
      <c r="V3" s="33" t="s">
        <v>51</v>
      </c>
      <c r="W3" s="33" t="s">
        <v>52</v>
      </c>
      <c r="X3" s="33" t="s">
        <v>53</v>
      </c>
      <c r="Y3" s="33" t="s">
        <v>54</v>
      </c>
      <c r="Z3" s="33" t="s">
        <v>55</v>
      </c>
      <c r="AA3" s="33" t="s">
        <v>56</v>
      </c>
    </row>
    <row r="4" customFormat="false" ht="6" hidden="false" customHeight="true" outlineLevel="0" collapsed="false">
      <c r="A4" s="27"/>
      <c r="B4" s="34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32"/>
      <c r="R4" s="32"/>
      <c r="T4" s="35"/>
      <c r="U4" s="35"/>
      <c r="V4" s="35"/>
      <c r="W4" s="35"/>
      <c r="X4" s="35"/>
      <c r="Y4" s="35"/>
      <c r="Z4" s="35"/>
    </row>
    <row r="5" customFormat="false" ht="12.75" hidden="false" customHeight="false" outlineLevel="0" collapsed="false">
      <c r="A5" s="36" t="s">
        <v>57</v>
      </c>
      <c r="B5" s="37" t="n">
        <v>2</v>
      </c>
      <c r="C5" s="37"/>
      <c r="D5" s="38" t="s">
        <v>58</v>
      </c>
      <c r="E5" s="27"/>
      <c r="F5" s="27"/>
      <c r="G5" s="27"/>
      <c r="H5" s="27"/>
      <c r="I5" s="27"/>
      <c r="J5" s="39" t="s">
        <v>59</v>
      </c>
      <c r="K5" s="37" t="n">
        <v>1</v>
      </c>
      <c r="L5" s="34"/>
      <c r="M5" s="34"/>
      <c r="N5" s="34"/>
      <c r="P5" s="40" t="str">
        <f aca="false">HLOOKUP(K5,T2:AA3,2)</f>
        <v>AHP 1-9</v>
      </c>
      <c r="Q5" s="41"/>
      <c r="R5" s="41"/>
      <c r="T5" s="35"/>
      <c r="U5" s="35"/>
      <c r="V5" s="35"/>
      <c r="W5" s="35"/>
      <c r="X5" s="35"/>
      <c r="Y5" s="35"/>
      <c r="Z5" s="35"/>
    </row>
    <row r="6" customFormat="false" ht="7.5" hidden="false" customHeight="true" outlineLevel="0" collapsed="false">
      <c r="A6" s="36"/>
      <c r="B6" s="27"/>
      <c r="C6" s="42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43"/>
      <c r="Q6" s="32"/>
      <c r="R6" s="32"/>
    </row>
    <row r="7" customFormat="false" ht="13.5" hidden="false" customHeight="true" outlineLevel="0" collapsed="false">
      <c r="A7" s="36" t="s">
        <v>60</v>
      </c>
      <c r="B7" s="37" t="n">
        <v>1</v>
      </c>
      <c r="C7" s="37"/>
      <c r="D7" s="38" t="s">
        <v>61</v>
      </c>
      <c r="E7" s="27"/>
      <c r="F7" s="27"/>
      <c r="G7" s="27"/>
      <c r="H7" s="27"/>
      <c r="I7" s="27"/>
      <c r="J7" s="44" t="s">
        <v>62</v>
      </c>
      <c r="K7" s="45" t="n">
        <v>0.1</v>
      </c>
      <c r="M7" s="27"/>
      <c r="N7" s="39" t="s">
        <v>63</v>
      </c>
      <c r="P7" s="40" t="str">
        <f aca="false">IF(B7&gt;1,IF(OR(K5=1,K5=4,K5=5),(1/M63-1/A91)/(1-1/A91),"n/a"),"n/a")</f>
        <v>n/a</v>
      </c>
      <c r="Q7" s="32"/>
      <c r="R7" s="32"/>
    </row>
    <row r="8" customFormat="false" ht="7.5" hidden="false" customHeight="true" outlineLevel="0" collapsed="false">
      <c r="A8" s="34"/>
      <c r="B8" s="34" t="n">
        <v>3</v>
      </c>
      <c r="C8" s="34" t="n">
        <v>9</v>
      </c>
      <c r="D8" s="34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43"/>
      <c r="Q8" s="32"/>
      <c r="R8" s="32"/>
    </row>
    <row r="9" customFormat="false" ht="13.5" hidden="false" customHeight="true" outlineLevel="0" collapsed="false">
      <c r="A9" s="36" t="s">
        <v>64</v>
      </c>
      <c r="B9" s="46" t="n">
        <v>0</v>
      </c>
      <c r="C9" s="46"/>
      <c r="D9" s="38" t="s">
        <v>65</v>
      </c>
      <c r="E9" s="27"/>
      <c r="F9" s="27"/>
      <c r="G9" s="27"/>
      <c r="H9" s="34"/>
      <c r="I9" s="34"/>
      <c r="J9" s="47" t="n">
        <f aca="false">2+MOD(B9,2)*11</f>
        <v>2</v>
      </c>
      <c r="K9" s="47" t="n">
        <f aca="false">7+(1+INT((B9-2)/2))*13</f>
        <v>7</v>
      </c>
      <c r="M9" s="48" t="str">
        <f aca="true">INDIRECT((ADDRESS(K9,J9,,,"multInp")))</f>
        <v>Consolidated</v>
      </c>
      <c r="N9" s="48"/>
      <c r="O9" s="48"/>
      <c r="P9" s="48"/>
      <c r="Q9" s="49"/>
      <c r="R9" s="49"/>
    </row>
    <row r="10" customFormat="false" ht="6" hidden="false" customHeight="true" outlineLevel="0" collapsed="false">
      <c r="A10" s="36"/>
      <c r="B10" s="27"/>
      <c r="C10" s="50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43"/>
      <c r="Q10" s="27"/>
      <c r="R10" s="27"/>
    </row>
    <row r="11" customFormat="false" ht="27.75" hidden="false" customHeight="true" outlineLevel="0" collapsed="false">
      <c r="A11" s="51" t="s">
        <v>66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27"/>
      <c r="R11" s="27"/>
    </row>
    <row r="12" customFormat="false" ht="6" hidden="false" customHeight="true" outlineLevel="0" collapsed="false">
      <c r="A12" s="53"/>
      <c r="B12" s="32"/>
      <c r="C12" s="54"/>
      <c r="D12" s="55"/>
      <c r="E12" s="55"/>
      <c r="F12" s="55"/>
      <c r="G12" s="55"/>
      <c r="H12" s="55"/>
      <c r="I12" s="55"/>
      <c r="J12" s="55"/>
      <c r="K12" s="27"/>
      <c r="L12" s="27"/>
      <c r="M12" s="27"/>
      <c r="N12" s="27"/>
      <c r="O12" s="27"/>
      <c r="P12" s="27"/>
      <c r="Q12" s="27"/>
      <c r="R12" s="27"/>
    </row>
    <row r="13" customFormat="false" ht="12.75" hidden="false" customHeight="true" outlineLevel="0" collapsed="false">
      <c r="A13" s="51" t="s">
        <v>67</v>
      </c>
      <c r="B13" s="52"/>
      <c r="C13" s="52"/>
      <c r="D13" s="52"/>
      <c r="E13" s="56"/>
      <c r="F13" s="56"/>
      <c r="G13" s="56"/>
      <c r="H13" s="56"/>
      <c r="I13" s="56"/>
      <c r="J13" s="56"/>
      <c r="K13" s="27"/>
      <c r="L13" s="27"/>
      <c r="M13" s="27"/>
      <c r="N13" s="27"/>
      <c r="O13" s="27"/>
      <c r="P13" s="27"/>
      <c r="Q13" s="27"/>
      <c r="R13" s="27"/>
    </row>
    <row r="14" s="59" customFormat="true" ht="6" hidden="false" customHeight="true" outlineLevel="0" collapsed="false">
      <c r="A14" s="53"/>
      <c r="B14" s="32"/>
      <c r="C14" s="57"/>
      <c r="D14" s="57"/>
      <c r="E14" s="57"/>
      <c r="F14" s="57"/>
      <c r="G14" s="57"/>
      <c r="H14" s="57"/>
      <c r="I14" s="57"/>
      <c r="J14" s="57"/>
      <c r="K14" s="32"/>
      <c r="L14" s="32"/>
      <c r="M14" s="32"/>
      <c r="N14" s="32"/>
      <c r="O14" s="58"/>
      <c r="P14" s="58"/>
      <c r="Q14" s="32"/>
      <c r="R14" s="32"/>
    </row>
    <row r="15" customFormat="false" ht="12.75" hidden="false" customHeight="false" outlineLevel="0" collapsed="false">
      <c r="A15" s="51" t="s">
        <v>68</v>
      </c>
      <c r="B15" s="60"/>
      <c r="C15" s="60"/>
      <c r="D15" s="60"/>
      <c r="E15" s="55"/>
      <c r="F15" s="55"/>
      <c r="G15" s="61" t="s">
        <v>69</v>
      </c>
      <c r="H15" s="62" t="n">
        <v>1E-008</v>
      </c>
      <c r="I15" s="55"/>
      <c r="J15" s="63" t="s">
        <v>70</v>
      </c>
      <c r="K15" s="64" t="n">
        <f aca="false">10x10!M40</f>
        <v>14</v>
      </c>
      <c r="L15" s="32"/>
      <c r="M15" s="34"/>
      <c r="N15" s="65" t="s">
        <v>71</v>
      </c>
      <c r="O15" s="66" t="n">
        <f aca="false">check</f>
        <v>9.30640772656327E-009</v>
      </c>
      <c r="P15" s="66"/>
      <c r="Q15" s="27"/>
      <c r="R15" s="27"/>
    </row>
    <row r="16" customFormat="false" ht="7.5" hidden="false" customHeight="true" outlineLevel="0" collapsed="false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32"/>
      <c r="M16" s="32"/>
      <c r="N16" s="32"/>
      <c r="O16" s="27"/>
      <c r="P16" s="27"/>
      <c r="Q16" s="27"/>
      <c r="R16" s="27"/>
    </row>
    <row r="17" customFormat="false" ht="12.75" hidden="false" customHeight="false" outlineLevel="0" collapsed="false">
      <c r="A17" s="51" t="s">
        <v>72</v>
      </c>
      <c r="B17" s="67" t="s">
        <v>73</v>
      </c>
      <c r="C17" s="67"/>
      <c r="D17" s="67"/>
      <c r="E17" s="67"/>
      <c r="F17" s="68" t="s">
        <v>11</v>
      </c>
      <c r="G17" s="69"/>
      <c r="H17" s="68"/>
      <c r="I17" s="68"/>
      <c r="J17" s="68"/>
      <c r="K17" s="68"/>
      <c r="L17" s="68"/>
      <c r="M17" s="68"/>
      <c r="N17" s="70"/>
      <c r="O17" s="71" t="s">
        <v>74</v>
      </c>
      <c r="P17" s="72" t="s">
        <v>75</v>
      </c>
      <c r="Q17" s="42"/>
      <c r="R17" s="42"/>
      <c r="T17" s="2"/>
      <c r="U17" s="2"/>
      <c r="V17" s="73"/>
      <c r="W17" s="73"/>
      <c r="X17" s="73"/>
      <c r="Y17" s="73"/>
      <c r="Z17" s="73"/>
      <c r="AA17" s="73"/>
      <c r="AB17" s="73"/>
      <c r="AC17" s="73"/>
      <c r="AD17" s="73"/>
      <c r="AE17" s="59"/>
      <c r="AF17" s="59"/>
      <c r="AG17" s="59"/>
      <c r="AH17" s="59"/>
      <c r="AI17" s="59"/>
      <c r="AJ17" s="59"/>
      <c r="AK17" s="59"/>
      <c r="AL17" s="59"/>
      <c r="AM17" s="59"/>
    </row>
    <row r="18" customFormat="false" ht="12.75" hidden="false" customHeight="false" outlineLevel="0" collapsed="false">
      <c r="A18" s="74"/>
      <c r="B18" s="75" t="n">
        <v>1</v>
      </c>
      <c r="C18" s="76" t="s">
        <v>76</v>
      </c>
      <c r="D18" s="76"/>
      <c r="E18" s="76"/>
      <c r="F18" s="77"/>
      <c r="G18" s="77"/>
      <c r="H18" s="77"/>
      <c r="I18" s="77"/>
      <c r="J18" s="77"/>
      <c r="K18" s="77"/>
      <c r="L18" s="77"/>
      <c r="M18" s="77"/>
      <c r="N18" s="77"/>
      <c r="O18" s="78" t="n">
        <f aca="false">O38</f>
        <v>0.499999046327503</v>
      </c>
      <c r="P18" s="79" t="n">
        <f aca="false">IF(B18&gt;$B$5,0,_xlfn.STDEV.S(T50:AC50))</f>
        <v>0</v>
      </c>
      <c r="Q18" s="80" t="n">
        <f aca="false">IF(O18&lt;&gt;0,P18/O18,0)</f>
        <v>0</v>
      </c>
      <c r="R18" s="81"/>
      <c r="S18" s="82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4"/>
      <c r="AE18" s="85"/>
      <c r="AF18" s="85"/>
      <c r="AG18" s="85"/>
      <c r="AH18" s="85"/>
      <c r="AI18" s="85"/>
      <c r="AJ18" s="85"/>
      <c r="AK18" s="85"/>
      <c r="AL18" s="85"/>
      <c r="AM18" s="59"/>
    </row>
    <row r="19" customFormat="false" ht="12.8" hidden="false" customHeight="false" outlineLevel="0" collapsed="false">
      <c r="A19" s="86"/>
      <c r="B19" s="75" t="n">
        <v>2</v>
      </c>
      <c r="C19" s="87" t="s">
        <v>77</v>
      </c>
      <c r="D19" s="87"/>
      <c r="E19" s="87"/>
      <c r="F19" s="77"/>
      <c r="G19" s="77"/>
      <c r="H19" s="77"/>
      <c r="I19" s="77"/>
      <c r="J19" s="77"/>
      <c r="K19" s="77"/>
      <c r="L19" s="77"/>
      <c r="M19" s="77"/>
      <c r="N19" s="77"/>
      <c r="O19" s="78" t="n">
        <f aca="false">O39</f>
        <v>0.499999046327503</v>
      </c>
      <c r="P19" s="79" t="n">
        <f aca="false">IF(B19&gt;$B$5,0,_xlfn.STDEV.S(T51:AC51))</f>
        <v>0</v>
      </c>
      <c r="Q19" s="80" t="n">
        <f aca="false">IF(O19&lt;&gt;0,P19/O19,0)</f>
        <v>0</v>
      </c>
      <c r="R19" s="81"/>
      <c r="S19" s="82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4"/>
      <c r="AE19" s="88"/>
      <c r="AF19" s="88"/>
      <c r="AG19" s="88"/>
      <c r="AH19" s="88"/>
      <c r="AI19" s="88"/>
      <c r="AJ19" s="88"/>
      <c r="AK19" s="88"/>
      <c r="AL19" s="88"/>
      <c r="AM19" s="59"/>
    </row>
    <row r="20" customFormat="false" ht="12.8" hidden="false" customHeight="false" outlineLevel="0" collapsed="false">
      <c r="A20" s="86"/>
      <c r="B20" s="75" t="n">
        <v>3</v>
      </c>
      <c r="C20" s="87"/>
      <c r="D20" s="87"/>
      <c r="E20" s="87"/>
      <c r="F20" s="77"/>
      <c r="G20" s="77"/>
      <c r="H20" s="77"/>
      <c r="I20" s="77"/>
      <c r="J20" s="77"/>
      <c r="K20" s="77"/>
      <c r="L20" s="77"/>
      <c r="M20" s="77"/>
      <c r="N20" s="77"/>
      <c r="O20" s="78" t="n">
        <f aca="false">O40</f>
        <v>2.38418124355079E-007</v>
      </c>
      <c r="P20" s="79" t="n">
        <f aca="false">IF(B20&gt;$B$5,0,_xlfn.STDEV.S(T52:AC52))</f>
        <v>0</v>
      </c>
      <c r="Q20" s="80" t="n">
        <f aca="false">IF(O20&lt;&gt;0,P20/O20,0)</f>
        <v>0</v>
      </c>
      <c r="R20" s="81"/>
      <c r="S20" s="82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4"/>
      <c r="AE20" s="88"/>
      <c r="AF20" s="88"/>
      <c r="AG20" s="88"/>
      <c r="AH20" s="88"/>
      <c r="AI20" s="88"/>
      <c r="AJ20" s="88"/>
      <c r="AK20" s="88"/>
      <c r="AL20" s="88"/>
      <c r="AM20" s="59"/>
    </row>
    <row r="21" customFormat="false" ht="12.8" hidden="false" customHeight="false" outlineLevel="0" collapsed="false">
      <c r="A21" s="86"/>
      <c r="B21" s="75" t="n">
        <v>4</v>
      </c>
      <c r="C21" s="87"/>
      <c r="D21" s="87"/>
      <c r="E21" s="87"/>
      <c r="F21" s="77"/>
      <c r="G21" s="77"/>
      <c r="H21" s="77"/>
      <c r="I21" s="77"/>
      <c r="J21" s="77"/>
      <c r="K21" s="77"/>
      <c r="L21" s="77"/>
      <c r="M21" s="77"/>
      <c r="N21" s="77"/>
      <c r="O21" s="78" t="n">
        <f aca="false">O41</f>
        <v>2.38418124355079E-007</v>
      </c>
      <c r="P21" s="79" t="n">
        <f aca="false">IF(B21&gt;$B$5,0,_xlfn.STDEV.S(T53:AC53))</f>
        <v>0</v>
      </c>
      <c r="Q21" s="80" t="n">
        <f aca="false">IF(O21&lt;&gt;0,P21/O21,0)</f>
        <v>0</v>
      </c>
      <c r="R21" s="81"/>
      <c r="S21" s="82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4"/>
      <c r="AE21" s="88"/>
      <c r="AF21" s="88"/>
      <c r="AG21" s="88"/>
      <c r="AH21" s="88"/>
      <c r="AI21" s="88"/>
      <c r="AJ21" s="88"/>
      <c r="AK21" s="88"/>
      <c r="AL21" s="88"/>
      <c r="AM21" s="59"/>
    </row>
    <row r="22" customFormat="false" ht="12.8" hidden="false" customHeight="false" outlineLevel="0" collapsed="false">
      <c r="A22" s="86"/>
      <c r="B22" s="75" t="n">
        <v>5</v>
      </c>
      <c r="C22" s="87"/>
      <c r="D22" s="87"/>
      <c r="E22" s="87"/>
      <c r="F22" s="77"/>
      <c r="G22" s="77"/>
      <c r="H22" s="77"/>
      <c r="I22" s="77"/>
      <c r="J22" s="77"/>
      <c r="K22" s="77"/>
      <c r="L22" s="77"/>
      <c r="M22" s="77"/>
      <c r="N22" s="77"/>
      <c r="O22" s="78" t="n">
        <f aca="false">O42</f>
        <v>2.38418124355079E-007</v>
      </c>
      <c r="P22" s="79" t="n">
        <f aca="false">IF(B22&gt;$B$5,0,_xlfn.STDEV.S(T54:AC54))</f>
        <v>0</v>
      </c>
      <c r="Q22" s="80" t="n">
        <f aca="false">IF(O22&lt;&gt;0,P22/O22,0)</f>
        <v>0</v>
      </c>
      <c r="R22" s="81"/>
      <c r="S22" s="82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4"/>
      <c r="AE22" s="88"/>
      <c r="AF22" s="88"/>
      <c r="AG22" s="88"/>
      <c r="AH22" s="88"/>
      <c r="AI22" s="88"/>
      <c r="AJ22" s="88"/>
      <c r="AK22" s="88"/>
      <c r="AL22" s="88"/>
      <c r="AM22" s="59"/>
    </row>
    <row r="23" customFormat="false" ht="12.8" hidden="false" customHeight="false" outlineLevel="0" collapsed="false">
      <c r="A23" s="86"/>
      <c r="B23" s="75" t="n">
        <v>6</v>
      </c>
      <c r="C23" s="87"/>
      <c r="D23" s="87"/>
      <c r="E23" s="87"/>
      <c r="F23" s="77"/>
      <c r="G23" s="77"/>
      <c r="H23" s="77"/>
      <c r="I23" s="77"/>
      <c r="J23" s="77"/>
      <c r="K23" s="77"/>
      <c r="L23" s="77"/>
      <c r="M23" s="77"/>
      <c r="N23" s="77"/>
      <c r="O23" s="78" t="n">
        <f aca="false">O43</f>
        <v>2.38418124355079E-007</v>
      </c>
      <c r="P23" s="79" t="n">
        <f aca="false">IF(B23&gt;$B$5,0,_xlfn.STDEV.S(T55:AC55))</f>
        <v>0</v>
      </c>
      <c r="Q23" s="80" t="n">
        <f aca="false">IF(O23&lt;&gt;0,P23/O23,0)</f>
        <v>0</v>
      </c>
      <c r="R23" s="81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4"/>
      <c r="AE23" s="88"/>
      <c r="AF23" s="88"/>
      <c r="AG23" s="88"/>
      <c r="AH23" s="88"/>
      <c r="AI23" s="88"/>
      <c r="AJ23" s="88"/>
      <c r="AK23" s="88"/>
      <c r="AL23" s="88"/>
      <c r="AM23" s="59"/>
    </row>
    <row r="24" customFormat="false" ht="12.8" hidden="false" customHeight="false" outlineLevel="0" collapsed="false">
      <c r="A24" s="86"/>
      <c r="B24" s="75" t="n">
        <v>7</v>
      </c>
      <c r="C24" s="87"/>
      <c r="D24" s="87"/>
      <c r="E24" s="87"/>
      <c r="F24" s="77"/>
      <c r="G24" s="77"/>
      <c r="H24" s="77"/>
      <c r="I24" s="77"/>
      <c r="J24" s="77"/>
      <c r="K24" s="77"/>
      <c r="L24" s="77"/>
      <c r="M24" s="77"/>
      <c r="N24" s="77"/>
      <c r="O24" s="78" t="n">
        <f aca="false">O44</f>
        <v>2.38418124355079E-007</v>
      </c>
      <c r="P24" s="79" t="n">
        <f aca="false">IF(B24&gt;$B$5,0,_xlfn.STDEV.S(T56:AC56))</f>
        <v>0</v>
      </c>
      <c r="Q24" s="80" t="n">
        <f aca="false">IF(O24&lt;&gt;0,P24/O24,0)</f>
        <v>0</v>
      </c>
      <c r="R24" s="81"/>
      <c r="S24" s="83"/>
      <c r="T24" s="83"/>
      <c r="U24" s="83"/>
      <c r="V24" s="83"/>
      <c r="W24" s="83"/>
      <c r="X24" s="83"/>
      <c r="Y24" s="83"/>
      <c r="AD24" s="59"/>
      <c r="AE24" s="59"/>
      <c r="AF24" s="59"/>
      <c r="AG24" s="59"/>
      <c r="AH24" s="59"/>
      <c r="AI24" s="59"/>
      <c r="AJ24" s="59"/>
      <c r="AK24" s="59"/>
      <c r="AL24" s="59"/>
      <c r="AM24" s="59"/>
    </row>
    <row r="25" customFormat="false" ht="12.8" hidden="false" customHeight="false" outlineLevel="0" collapsed="false">
      <c r="A25" s="86"/>
      <c r="B25" s="75" t="n">
        <v>8</v>
      </c>
      <c r="C25" s="87"/>
      <c r="D25" s="87"/>
      <c r="E25" s="87"/>
      <c r="F25" s="77"/>
      <c r="G25" s="77"/>
      <c r="H25" s="77"/>
      <c r="I25" s="77"/>
      <c r="J25" s="77"/>
      <c r="K25" s="77"/>
      <c r="L25" s="77"/>
      <c r="M25" s="77"/>
      <c r="N25" s="77"/>
      <c r="O25" s="78" t="n">
        <f aca="false">O45</f>
        <v>2.38418124355079E-007</v>
      </c>
      <c r="P25" s="79" t="n">
        <f aca="false">IF(B25&gt;$B$5,0,_xlfn.STDEV.S(T57:AC57))</f>
        <v>0</v>
      </c>
      <c r="Q25" s="80" t="n">
        <f aca="false">IF(O25&lt;&gt;0,P25/O25,0)</f>
        <v>0</v>
      </c>
      <c r="R25" s="81"/>
      <c r="S25" s="83"/>
      <c r="T25" s="2"/>
      <c r="U25" s="83"/>
      <c r="V25" s="83"/>
      <c r="W25" s="83"/>
      <c r="X25" s="83"/>
      <c r="Y25" s="83"/>
      <c r="Z25" s="83"/>
      <c r="AA25" s="83"/>
      <c r="AB25" s="83"/>
      <c r="AC25" s="83"/>
    </row>
    <row r="26" customFormat="false" ht="12.8" hidden="false" customHeight="false" outlineLevel="0" collapsed="false">
      <c r="A26" s="86"/>
      <c r="B26" s="75" t="n">
        <v>9</v>
      </c>
      <c r="C26" s="89"/>
      <c r="D26" s="89"/>
      <c r="E26" s="89"/>
      <c r="F26" s="90" t="s">
        <v>78</v>
      </c>
      <c r="G26" s="90"/>
      <c r="H26" s="90"/>
      <c r="I26" s="90"/>
      <c r="J26" s="90"/>
      <c r="K26" s="90"/>
      <c r="L26" s="90"/>
      <c r="M26" s="90"/>
      <c r="N26" s="90"/>
      <c r="O26" s="78" t="n">
        <f aca="false">O46</f>
        <v>2.38418124355079E-007</v>
      </c>
      <c r="P26" s="79" t="n">
        <f aca="false">IF(B26&gt;$B$5,0,_xlfn.STDEV.S(T58:AC58))</f>
        <v>0</v>
      </c>
      <c r="Q26" s="80" t="n">
        <f aca="false">IF(O26&lt;&gt;0,P26/O26,0)</f>
        <v>0</v>
      </c>
      <c r="R26" s="81"/>
      <c r="S26" s="83"/>
    </row>
    <row r="27" customFormat="false" ht="12.8" hidden="false" customHeight="false" outlineLevel="0" collapsed="false">
      <c r="A27" s="86"/>
      <c r="B27" s="91" t="n">
        <v>10</v>
      </c>
      <c r="C27" s="92"/>
      <c r="D27" s="92"/>
      <c r="E27" s="92"/>
      <c r="F27" s="93" t="s">
        <v>79</v>
      </c>
      <c r="G27" s="93"/>
      <c r="H27" s="93"/>
      <c r="I27" s="93"/>
      <c r="J27" s="93"/>
      <c r="K27" s="93"/>
      <c r="L27" s="93"/>
      <c r="M27" s="93"/>
      <c r="N27" s="93"/>
      <c r="O27" s="94" t="n">
        <f aca="false">O47</f>
        <v>2.38418124355079E-007</v>
      </c>
      <c r="P27" s="95" t="n">
        <f aca="false">IF(B27&gt;$B$5,0,_xlfn.STDEV.S(T59:AC59))</f>
        <v>0</v>
      </c>
      <c r="Q27" s="80" t="n">
        <f aca="false">IF(O27&lt;&gt;0,P27/O27,0)</f>
        <v>0</v>
      </c>
      <c r="R27" s="81"/>
      <c r="S27" s="83"/>
    </row>
    <row r="28" customFormat="false" ht="6" hidden="false" customHeight="true" outlineLevel="0" collapsed="false">
      <c r="A28" s="86"/>
      <c r="B28" s="96"/>
      <c r="C28" s="97"/>
      <c r="D28" s="98"/>
      <c r="E28" s="98"/>
      <c r="F28" s="99"/>
      <c r="G28" s="100"/>
      <c r="H28" s="100"/>
      <c r="I28" s="100"/>
      <c r="J28" s="100"/>
      <c r="K28" s="100"/>
      <c r="L28" s="100"/>
      <c r="M28" s="100"/>
      <c r="N28" s="56"/>
      <c r="O28" s="101"/>
      <c r="P28" s="101"/>
      <c r="Q28" s="80"/>
      <c r="R28" s="27"/>
      <c r="S28" s="43"/>
    </row>
    <row r="29" customFormat="false" ht="6" hidden="false" customHeight="true" outlineLevel="0" collapsed="false">
      <c r="A29" s="86"/>
      <c r="B29" s="102"/>
      <c r="C29" s="103"/>
      <c r="D29" s="103"/>
      <c r="E29" s="103"/>
      <c r="F29" s="103"/>
      <c r="G29" s="103"/>
      <c r="H29" s="103"/>
      <c r="I29" s="103"/>
      <c r="J29" s="103"/>
      <c r="K29" s="103"/>
      <c r="L29" s="103"/>
      <c r="M29" s="103"/>
      <c r="N29" s="103"/>
      <c r="O29" s="104"/>
      <c r="P29" s="105"/>
      <c r="Q29" s="27"/>
      <c r="R29" s="27"/>
      <c r="S29" s="43"/>
    </row>
    <row r="30" customFormat="false" ht="12.75" hidden="false" customHeight="false" outlineLevel="0" collapsed="false">
      <c r="A30" s="106" t="s">
        <v>80</v>
      </c>
      <c r="B30" s="107"/>
      <c r="C30" s="96" t="s">
        <v>81</v>
      </c>
      <c r="D30" s="32"/>
      <c r="E30" s="32"/>
      <c r="F30" s="32"/>
      <c r="G30" s="32"/>
      <c r="H30" s="32"/>
      <c r="I30" s="108"/>
      <c r="J30" s="108"/>
      <c r="K30" s="109" t="s">
        <v>82</v>
      </c>
      <c r="L30" s="110" t="n">
        <f aca="false">10x10!AG38</f>
        <v>1.99999618531001</v>
      </c>
      <c r="M30" s="110"/>
      <c r="N30" s="108"/>
      <c r="O30" s="111" t="s">
        <v>83</v>
      </c>
      <c r="P30" s="79" t="n">
        <f aca="false">SQRT(SUMSQ(Q18:Q27)/B5)</f>
        <v>0</v>
      </c>
      <c r="Q30" s="27"/>
      <c r="R30" s="27"/>
      <c r="S30" s="43"/>
    </row>
    <row r="31" customFormat="false" ht="6" hidden="false" customHeight="true" outlineLevel="0" collapsed="false">
      <c r="A31" s="86"/>
      <c r="B31" s="107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101"/>
      <c r="P31" s="112"/>
      <c r="Q31" s="27"/>
      <c r="R31" s="27"/>
      <c r="S31" s="43"/>
    </row>
    <row r="32" customFormat="false" ht="12.75" hidden="false" customHeight="false" outlineLevel="0" collapsed="false">
      <c r="A32" s="113"/>
      <c r="B32" s="107"/>
      <c r="C32" s="96" t="s">
        <v>84</v>
      </c>
      <c r="D32" s="32"/>
      <c r="E32" s="32"/>
      <c r="F32" s="32"/>
      <c r="G32" s="114" t="n">
        <v>0.37</v>
      </c>
      <c r="H32" s="115" t="s">
        <v>85</v>
      </c>
      <c r="I32" s="116" t="str">
        <f aca="false">IF(B5&gt;2,2*AC37/(B5-1)/(B5-2),"n/a")</f>
        <v>n/a</v>
      </c>
      <c r="J32" s="117" t="s">
        <v>86</v>
      </c>
      <c r="K32" s="118" t="str">
        <f aca="false">IF(B5&gt;2,2/($B$5-1)/$B$5*SUM(T63:AC72),"n/a")</f>
        <v>n/a</v>
      </c>
      <c r="L32" s="63" t="s">
        <v>87</v>
      </c>
      <c r="M32" s="119" t="n">
        <f aca="false">(L30-B5)/((2.7699*B5-4.3513)-B5)</f>
        <v>4.70078865023707E-006</v>
      </c>
      <c r="N32" s="32"/>
      <c r="O32" s="120" t="s">
        <v>88</v>
      </c>
      <c r="P32" s="121" t="n">
        <f aca="false">SQRT(2*ROUND((L30-B5),5)/(B5-1))</f>
        <v>-0</v>
      </c>
      <c r="Q32" s="27"/>
      <c r="R32" s="27"/>
      <c r="S32" s="43"/>
      <c r="T32" s="122"/>
    </row>
    <row r="33" customFormat="false" ht="7.5" hidden="false" customHeight="true" outlineLevel="0" collapsed="false">
      <c r="A33" s="86"/>
      <c r="B33" s="123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4"/>
      <c r="O33" s="125"/>
      <c r="P33" s="126"/>
      <c r="Q33" s="27"/>
      <c r="R33" s="27"/>
      <c r="S33" s="43"/>
    </row>
    <row r="34" customFormat="false" ht="12.75" hidden="false" customHeight="false" outlineLevel="0" collapsed="false">
      <c r="A34" s="86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127"/>
      <c r="P34" s="127"/>
      <c r="Q34" s="27"/>
      <c r="R34" s="27"/>
    </row>
    <row r="35" customFormat="false" ht="7.5" hidden="false" customHeight="true" outlineLevel="0" collapsed="false">
      <c r="A35" s="128"/>
      <c r="B35" s="129"/>
      <c r="C35" s="129"/>
      <c r="D35" s="129"/>
      <c r="E35" s="129"/>
      <c r="F35" s="129"/>
      <c r="G35" s="129"/>
      <c r="H35" s="129"/>
      <c r="I35" s="129"/>
      <c r="J35" s="129"/>
      <c r="K35" s="129"/>
      <c r="L35" s="129"/>
      <c r="M35" s="129"/>
      <c r="N35" s="129"/>
      <c r="O35" s="129"/>
      <c r="P35" s="129"/>
      <c r="Q35" s="27"/>
      <c r="R35" s="27"/>
    </row>
    <row r="36" customFormat="false" ht="60" hidden="false" customHeight="true" outlineLevel="0" collapsed="false">
      <c r="A36" s="130" t="s">
        <v>89</v>
      </c>
      <c r="B36" s="27"/>
      <c r="C36" s="131" t="str">
        <f aca="false" t="array" ref="C36:L36">TRANSPOSE(C18:C27)</f>
        <v>Crit-1</v>
      </c>
      <c r="D36" s="131" t="str">
        <v>Crit-2</v>
      </c>
      <c r="E36" s="131" t="n">
        <v>0</v>
      </c>
      <c r="F36" s="131" t="n">
        <v>0</v>
      </c>
      <c r="G36" s="131" t="n">
        <v>0</v>
      </c>
      <c r="H36" s="131" t="n">
        <v>0</v>
      </c>
      <c r="I36" s="131" t="n">
        <v>0</v>
      </c>
      <c r="J36" s="131" t="n">
        <v>0</v>
      </c>
      <c r="K36" s="131" t="n">
        <v>0</v>
      </c>
      <c r="L36" s="131" t="n">
        <v>0</v>
      </c>
      <c r="M36" s="132" t="s">
        <v>90</v>
      </c>
      <c r="N36" s="132"/>
      <c r="O36" s="132"/>
      <c r="P36" s="133"/>
      <c r="Q36" s="27"/>
      <c r="R36" s="27"/>
      <c r="T36" s="134" t="s">
        <v>91</v>
      </c>
      <c r="U36" s="59"/>
      <c r="V36" s="59"/>
      <c r="W36" s="59"/>
      <c r="X36" s="59"/>
      <c r="Y36" s="59"/>
      <c r="Z36" s="59"/>
      <c r="AA36" s="59"/>
      <c r="AB36" s="59"/>
      <c r="AC36" s="59"/>
    </row>
    <row r="37" customFormat="false" ht="12.75" hidden="false" customHeight="true" outlineLevel="0" collapsed="false">
      <c r="A37" s="27"/>
      <c r="B37" s="43"/>
      <c r="C37" s="135" t="n">
        <v>1</v>
      </c>
      <c r="D37" s="135" t="n">
        <v>2</v>
      </c>
      <c r="E37" s="135" t="n">
        <v>3</v>
      </c>
      <c r="F37" s="135" t="n">
        <v>4</v>
      </c>
      <c r="G37" s="135" t="n">
        <v>5</v>
      </c>
      <c r="H37" s="135" t="n">
        <v>6</v>
      </c>
      <c r="I37" s="135" t="n">
        <v>7</v>
      </c>
      <c r="J37" s="135" t="n">
        <v>8</v>
      </c>
      <c r="K37" s="135" t="n">
        <v>9</v>
      </c>
      <c r="L37" s="135" t="n">
        <v>10</v>
      </c>
      <c r="M37" s="27"/>
      <c r="N37" s="27"/>
      <c r="O37" s="27"/>
      <c r="P37" s="27"/>
      <c r="Q37" s="27"/>
      <c r="R37" s="27"/>
      <c r="T37" s="136" t="n">
        <v>2</v>
      </c>
      <c r="U37" s="136" t="n">
        <v>3</v>
      </c>
      <c r="V37" s="136" t="n">
        <v>4</v>
      </c>
      <c r="W37" s="136" t="n">
        <v>5</v>
      </c>
      <c r="X37" s="136" t="n">
        <v>6</v>
      </c>
      <c r="Y37" s="136" t="n">
        <v>7</v>
      </c>
      <c r="Z37" s="136" t="n">
        <v>8</v>
      </c>
      <c r="AA37" s="136" t="n">
        <v>9</v>
      </c>
      <c r="AB37" s="137" t="n">
        <v>10</v>
      </c>
      <c r="AC37" s="138" t="n">
        <f aca="false">SUM(AC38:AC46)</f>
        <v>0</v>
      </c>
      <c r="AM37" s="139"/>
      <c r="AN37" s="139"/>
    </row>
    <row r="38" customFormat="false" ht="20.1" hidden="false" customHeight="true" outlineLevel="0" collapsed="false">
      <c r="A38" s="140" t="str">
        <f aca="false" t="array" ref="A38:A47">C18:C27</f>
        <v>Crit-1</v>
      </c>
      <c r="B38" s="141" t="n">
        <v>1</v>
      </c>
      <c r="C38" s="142" t="n">
        <v>1</v>
      </c>
      <c r="D38" s="143" t="n">
        <f aca="false">IF(D50&lt;&gt;0,IF(D50&gt;=1, CHOOSE( $K$5, D50, LOG(D50+1,2), SQRT(D50), 9/(10-D50), (9+($B$5-1)*D50)/(9+$B$5-D50),  D50^2, 2^(D50-1),D50^(1+LN($B$5-1)/LN(9))), CHOOSE( $K$5, 1/D50, LOG(1/D50+1,2), SQRT(1/D50), 9/(10-1/D50), (9+($B$5-1)/D50)/(9+$B$5-1/D50),  (1/D50)^2, 2^(1/D50-1),(1/D50)^(1+LN($B$5-1)/LN(9)))^-1),0)</f>
        <v>1</v>
      </c>
      <c r="E38" s="143" t="n">
        <f aca="false">IF(E50&lt;&gt;0,IF(E50&gt;=1, CHOOSE( $K$5, E50, LOG(E50+1,2), SQRT(E50), 9/(10-E50), (9+($B$5-1)*E50)/(9+$B$5-E50),  E50^2, 2^(E50-1),E50^(1+LN($B$5-1)/LN(9))), CHOOSE( $K$5, 1/E50, LOG(1/E50+1,2), SQRT(1/E50), 9/(10-1/E50), (9+($B$5-1)/E50)/(9+$B$5-1/E50),  (1/E50)^2, 2^(1/E50-1),(1/E50)^(1+LN($B$5-1)/LN(9)))^-1),0)</f>
        <v>0</v>
      </c>
      <c r="F38" s="143" t="n">
        <f aca="false">IF(F50&lt;&gt;0,IF(F50&gt;=1, CHOOSE( $K$5, F50, LOG(F50+1,2), SQRT(F50), 9/(10-F50), (9+($B$5-1)*F50)/(9+$B$5-F50),  F50^2, 2^(F50-1),F50^(1+LN($B$5-1)/LN(9))), CHOOSE( $K$5, 1/F50, LOG(1/F50+1,2), SQRT(1/F50), 9/(10-1/F50), (9+($B$5-1)/F50)/(9+$B$5-1/F50),  (1/F50)^2, 2^(1/F50-1),(1/F50)^(1+LN($B$5-1)/LN(9)))^-1),0)</f>
        <v>0</v>
      </c>
      <c r="G38" s="143" t="n">
        <f aca="false">IF(G50&lt;&gt;0,IF(G50&gt;=1, CHOOSE( $K$5, G50, LOG(G50+1,2), SQRT(G50), 9/(10-G50), (9+($B$5-1)*G50)/(9+$B$5-G50),  G50^2, 2^(G50-1),G50^(1+LN($B$5-1)/LN(9))), CHOOSE( $K$5, 1/G50, LOG(1/G50+1,2), SQRT(1/G50), 9/(10-1/G50), (9+($B$5-1)/G50)/(9+$B$5-1/G50),  (1/G50)^2, 2^(1/G50-1),(1/G50)^(1+LN($B$5-1)/LN(9)))^-1),0)</f>
        <v>0</v>
      </c>
      <c r="H38" s="143" t="n">
        <f aca="false">IF(H50&lt;&gt;0,IF(H50&gt;=1, CHOOSE( $K$5, H50, LOG(H50+1,2), SQRT(H50), 9/(10-H50), (9+($B$5-1)*H50)/(9+$B$5-H50),  H50^2, 2^(H50-1),H50^(1+LN($B$5-1)/LN(9))), CHOOSE( $K$5, 1/H50, LOG(1/H50+1,2), SQRT(1/H50), 9/(10-1/H50), (9+($B$5-1)/H50)/(9+$B$5-1/H50),  (1/H50)^2, 2^(1/H50-1),(1/H50)^(1+LN($B$5-1)/LN(9)))^-1),0)</f>
        <v>0</v>
      </c>
      <c r="I38" s="143" t="n">
        <f aca="false">IF(I50&lt;&gt;0,IF(I50&gt;=1, CHOOSE( $K$5, I50, LOG(I50+1,2), SQRT(I50), 9/(10-I50), (9+($B$5-1)*I50)/(9+$B$5-I50),  I50^2, 2^(I50-1),I50^(1+LN($B$5-1)/LN(9))), CHOOSE( $K$5, 1/I50, LOG(1/I50+1,2), SQRT(1/I50), 9/(10-1/I50), (9+($B$5-1)/I50)/(9+$B$5-1/I50),  (1/I50)^2, 2^(1/I50-1),(1/I50)^(1+LN($B$5-1)/LN(9)))^-1),0)</f>
        <v>0</v>
      </c>
      <c r="J38" s="143" t="n">
        <f aca="false">IF(J50&lt;&gt;0,IF(J50&gt;=1, CHOOSE( $K$5, J50, LOG(J50+1,2), SQRT(J50), 9/(10-J50), (9+($B$5-1)*J50)/(9+$B$5-J50),  J50^2, 2^(J50-1),J50^(1+LN($B$5-1)/LN(9))), CHOOSE( $K$5, 1/J50, LOG(1/J50+1,2), SQRT(1/J50), 9/(10-1/J50), (9+($B$5-1)/J50)/(9+$B$5-1/J50),  (1/J50)^2, 2^(1/J50-1),(1/J50)^(1+LN($B$5-1)/LN(9)))^-1),0)</f>
        <v>0</v>
      </c>
      <c r="K38" s="143" t="n">
        <f aca="false">IF(K50&lt;&gt;0,IF(K50&gt;=1, CHOOSE( $K$5, K50, LOG(K50+1,2), SQRT(K50), 9/(10-K50), (9+($B$5-1)*K50)/(9+$B$5-K50),  K50^2, 2^(K50-1),K50^(1+LN($B$5-1)/LN(9))), CHOOSE( $K$5, 1/K50, LOG(1/K50+1,2), SQRT(1/K50), 9/(10-1/K50), (9+($B$5-1)/K50)/(9+$B$5-1/K50),  (1/K50)^2, 2^(1/K50-1),(1/K50)^(1+LN($B$5-1)/LN(9)))^-1),0)</f>
        <v>0</v>
      </c>
      <c r="L38" s="143" t="n">
        <f aca="false">IF(L50&lt;&gt;0,IF(L50&gt;=1, CHOOSE( $K$5, L50, LOG(L50+1,2), SQRT(L50), 9/(10-L50), (9+($B$5-1)*L50)/(9+$B$5-L50),  L50^2, 2^(L50-1),L50^(1+LN($B$5-1)/LN(9))), CHOOSE( $K$5, 1/L50, LOG(1/L50+1,2), SQRT(1/L50), 9/(10-1/L50), (9+($B$5-1)/L50)/(9+$B$5-1/L50),  (1/L50)^2, 2^(1/L50-1),(1/L50)^(1+LN($B$5-1)/LN(9)))^-1),0)</f>
        <v>0</v>
      </c>
      <c r="M38" s="34"/>
      <c r="N38" s="27"/>
      <c r="O38" s="144" t="n">
        <f aca="false" t="array" ref="O38:O47">EV_20</f>
        <v>0.499999046327503</v>
      </c>
      <c r="P38" s="144"/>
      <c r="Q38" s="27"/>
      <c r="R38" s="27"/>
      <c r="T38" s="138" t="n">
        <f aca="true">IF(OR($B38&gt;$B$5,T$37&gt;$B$5),0,(LN(OFFSET($B$37,$B38,T$37))-LN(OFFSET($O$37,$B38,0)/OFFSET($O$37,T$37,0)))^2)</f>
        <v>0</v>
      </c>
      <c r="U38" s="138" t="n">
        <f aca="true">IF(OR($B38&gt;$B$5,U$37&gt;$B$5),0,(LN(OFFSET($B$37,$B38,U$37))-LN(OFFSET($O$37,$B38,0)/OFFSET($O$37,U$37,0)))^2)</f>
        <v>0</v>
      </c>
      <c r="V38" s="138" t="n">
        <f aca="true">IF(OR($B38&gt;$B$5,V$37&gt;$B$5),0,(LN(OFFSET($B$37,$B38,V$37))-LN(OFFSET($O$37,$B38,0)/OFFSET($O$37,V$37,0)))^2)</f>
        <v>0</v>
      </c>
      <c r="W38" s="138" t="n">
        <f aca="true">IF(OR($B38&gt;$B$5,W$37&gt;$B$5),0,(LN(OFFSET($B$37,$B38,W$37))-LN(OFFSET($O$37,$B38,0)/OFFSET($O$37,W$37,0)))^2)</f>
        <v>0</v>
      </c>
      <c r="X38" s="138" t="n">
        <f aca="true">IF(OR($B38&gt;$B$5,X$37&gt;$B$5),0,(LN(OFFSET($B$37,$B38,X$37))-LN(OFFSET($O$37,$B38,0)/OFFSET($O$37,X$37,0)))^2)</f>
        <v>0</v>
      </c>
      <c r="Y38" s="138" t="n">
        <f aca="true">IF(OR($B38&gt;$B$5,Y$37&gt;$B$5),0,(LN(OFFSET($B$37,$B38,Y$37))-LN(OFFSET($O$37,$B38,0)/OFFSET($O$37,Y$37,0)))^2)</f>
        <v>0</v>
      </c>
      <c r="Z38" s="138" t="n">
        <f aca="true">IF(OR($B38&gt;$B$5,Z$37&gt;$B$5),0,(LN(OFFSET($B$37,$B38,Z$37))-LN(OFFSET($O$37,$B38,0)/OFFSET($O$37,Z$37,0)))^2)</f>
        <v>0</v>
      </c>
      <c r="AA38" s="138" t="n">
        <f aca="true">IF(OR($B38&gt;$B$5,AA$37&gt;$B$5),0,(LN(OFFSET($B$37,$B38,AA$37))-LN(OFFSET($O$37,$B38,0)/OFFSET($O$37,AA$37,0)))^2)</f>
        <v>0</v>
      </c>
      <c r="AB38" s="145" t="n">
        <f aca="true">IF(OR($B38&gt;$B$5,AB$37&gt;$B$5),0,(LN(OFFSET($B$37,$B38,AB$37))-LN(OFFSET($O$37,$B38,0)/OFFSET($O$37,AB$37,0)))^2)</f>
        <v>0</v>
      </c>
      <c r="AC38" s="138" t="n">
        <f aca="false">SUM(T38:AB38)</f>
        <v>0</v>
      </c>
      <c r="AD38" s="146"/>
      <c r="AH38" s="122"/>
      <c r="AI38" s="122"/>
      <c r="AJ38" s="122"/>
      <c r="AK38" s="122"/>
      <c r="AL38" s="122"/>
      <c r="AM38" s="147"/>
      <c r="AN38" s="122"/>
    </row>
    <row r="39" customFormat="false" ht="20.1" hidden="false" customHeight="true" outlineLevel="0" collapsed="false">
      <c r="A39" s="140" t="str">
        <v>Crit-2</v>
      </c>
      <c r="B39" s="141" t="n">
        <v>2</v>
      </c>
      <c r="C39" s="148" t="n">
        <f aca="false">IF(INDEX($C$38:$L$47,C$37,$B39)&lt;&gt;0,1/INDEX($C$38:$L$47,C$37,$B39),0)</f>
        <v>1</v>
      </c>
      <c r="D39" s="142" t="n">
        <v>1</v>
      </c>
      <c r="E39" s="143" t="n">
        <f aca="false">IF(E51&lt;&gt;0,IF(E51&gt;=1, CHOOSE( $K$5, E51, LOG(E51+1,2), SQRT(E51), 9/(10-E51), (9+($B$5-1)*E51)/(9+$B$5-E51),  E51^2, 2^(E51-1),E51^(1+LN($B$5-1)/LN(9))), CHOOSE( $K$5, 1/E51, LOG(1/E51+1,2), SQRT(1/E51), 9/(10-1/E51), (9+($B$5-1)/E51)/(9+$B$5-1/E51),  (1/E51)^2, 2^(1/E51-1),(1/E51)^(1+LN($B$5-1)/LN(9)))^-1),0)</f>
        <v>0</v>
      </c>
      <c r="F39" s="143" t="n">
        <f aca="false">IF(F51&lt;&gt;0,IF(F51&gt;=1, CHOOSE( $K$5, F51, LOG(F51+1,2), SQRT(F51), 9/(10-F51), (9+($B$5-1)*F51)/(9+$B$5-F51),  F51^2, 2^(F51-1),F51^(1+LN($B$5-1)/LN(9))), CHOOSE( $K$5, 1/F51, LOG(1/F51+1,2), SQRT(1/F51), 9/(10-1/F51), (9+($B$5-1)/F51)/(9+$B$5-1/F51),  (1/F51)^2, 2^(1/F51-1),(1/F51)^(1+LN($B$5-1)/LN(9)))^-1),0)</f>
        <v>0</v>
      </c>
      <c r="G39" s="143" t="n">
        <f aca="false">IF(G51&lt;&gt;0,IF(G51&gt;=1, CHOOSE( $K$5, G51, LOG(G51+1,2), SQRT(G51), 9/(10-G51), (9+($B$5-1)*G51)/(9+$B$5-G51),  G51^2, 2^(G51-1),G51^(1+LN($B$5-1)/LN(9))), CHOOSE( $K$5, 1/G51, LOG(1/G51+1,2), SQRT(1/G51), 9/(10-1/G51), (9+($B$5-1)/G51)/(9+$B$5-1/G51),  (1/G51)^2, 2^(1/G51-1),(1/G51)^(1+LN($B$5-1)/LN(9)))^-1),0)</f>
        <v>0</v>
      </c>
      <c r="H39" s="143" t="n">
        <f aca="false">IF(H51&lt;&gt;0,IF(H51&gt;=1, CHOOSE( $K$5, H51, LOG(H51+1,2), SQRT(H51), 9/(10-H51), (9+($B$5-1)*H51)/(9+$B$5-H51),  H51^2, 2^(H51-1),H51^(1+LN($B$5-1)/LN(9))), CHOOSE( $K$5, 1/H51, LOG(1/H51+1,2), SQRT(1/H51), 9/(10-1/H51), (9+($B$5-1)/H51)/(9+$B$5-1/H51),  (1/H51)^2, 2^(1/H51-1),(1/H51)^(1+LN($B$5-1)/LN(9)))^-1),0)</f>
        <v>0</v>
      </c>
      <c r="I39" s="143" t="n">
        <f aca="false">IF(I51&lt;&gt;0,IF(I51&gt;=1, CHOOSE( $K$5, I51, LOG(I51+1,2), SQRT(I51), 9/(10-I51), (9+($B$5-1)*I51)/(9+$B$5-I51),  I51^2, 2^(I51-1),I51^(1+LN($B$5-1)/LN(9))), CHOOSE( $K$5, 1/I51, LOG(1/I51+1,2), SQRT(1/I51), 9/(10-1/I51), (9+($B$5-1)/I51)/(9+$B$5-1/I51),  (1/I51)^2, 2^(1/I51-1),(1/I51)^(1+LN($B$5-1)/LN(9)))^-1),0)</f>
        <v>0</v>
      </c>
      <c r="J39" s="143" t="n">
        <f aca="false">IF(J51&lt;&gt;0,IF(J51&gt;=1, CHOOSE( $K$5, J51, LOG(J51+1,2), SQRT(J51), 9/(10-J51), (9+($B$5-1)*J51)/(9+$B$5-J51),  J51^2, 2^(J51-1),J51^(1+LN($B$5-1)/LN(9))), CHOOSE( $K$5, 1/J51, LOG(1/J51+1,2), SQRT(1/J51), 9/(10-1/J51), (9+($B$5-1)/J51)/(9+$B$5-1/J51),  (1/J51)^2, 2^(1/J51-1),(1/J51)^(1+LN($B$5-1)/LN(9)))^-1),0)</f>
        <v>0</v>
      </c>
      <c r="K39" s="143" t="n">
        <f aca="false">IF(K51&lt;&gt;0,IF(K51&gt;=1, CHOOSE( $K$5, K51, LOG(K51+1,2), SQRT(K51), 9/(10-K51), (9+($B$5-1)*K51)/(9+$B$5-K51),  K51^2, 2^(K51-1),K51^(1+LN($B$5-1)/LN(9))), CHOOSE( $K$5, 1/K51, LOG(1/K51+1,2), SQRT(1/K51), 9/(10-1/K51), (9+($B$5-1)/K51)/(9+$B$5-1/K51),  (1/K51)^2, 2^(1/K51-1),(1/K51)^(1+LN($B$5-1)/LN(9)))^-1),0)</f>
        <v>0</v>
      </c>
      <c r="L39" s="143" t="n">
        <f aca="false">IF(L51&lt;&gt;0,IF(L51&gt;=1, CHOOSE( $K$5, L51, LOG(L51+1,2), SQRT(L51), 9/(10-L51), (9+($B$5-1)*L51)/(9+$B$5-L51),  L51^2, 2^(L51-1),L51^(1+LN($B$5-1)/LN(9))), CHOOSE( $K$5, 1/L51, LOG(1/L51+1,2), SQRT(1/L51), 9/(10-1/L51), (9+($B$5-1)/L51)/(9+$B$5-1/L51),  (1/L51)^2, 2^(1/L51-1),(1/L51)^(1+LN($B$5-1)/LN(9)))^-1),0)</f>
        <v>0</v>
      </c>
      <c r="M39" s="34"/>
      <c r="N39" s="27"/>
      <c r="O39" s="144" t="n">
        <v>0.499999046327503</v>
      </c>
      <c r="P39" s="144"/>
      <c r="Q39" s="27"/>
      <c r="R39" s="27"/>
      <c r="T39" s="138"/>
      <c r="U39" s="138" t="n">
        <f aca="true">IF(OR($B39&gt;$B$5,U$37&gt;$B$5),0,(LN(OFFSET($B$37,$B39,U$37))-LN(OFFSET($O$37,$B39,0)/OFFSET($O$37,U$37,0)))^2)</f>
        <v>0</v>
      </c>
      <c r="V39" s="138" t="n">
        <f aca="true">IF(OR($B39&gt;$B$5,V$37&gt;$B$5),0,(LN(OFFSET($B$37,$B39,V$37))-LN(OFFSET($O$37,$B39,0)/OFFSET($O$37,V$37,0)))^2)</f>
        <v>0</v>
      </c>
      <c r="W39" s="138" t="n">
        <f aca="true">IF(OR($B39&gt;$B$5,W$37&gt;$B$5),0,(LN(OFFSET($B$37,$B39,W$37))-LN(OFFSET($O$37,$B39,0)/OFFSET($O$37,W$37,0)))^2)</f>
        <v>0</v>
      </c>
      <c r="X39" s="138" t="n">
        <f aca="true">IF(OR($B39&gt;$B$5,X$37&gt;$B$5),0,(LN(OFFSET($B$37,$B39,X$37))-LN(OFFSET($O$37,$B39,0)/OFFSET($O$37,X$37,0)))^2)</f>
        <v>0</v>
      </c>
      <c r="Y39" s="138" t="n">
        <f aca="true">IF(OR($B39&gt;$B$5,Y$37&gt;$B$5),0,(LN(OFFSET($B$37,$B39,Y$37))-LN(OFFSET($O$37,$B39,0)/OFFSET($O$37,Y$37,0)))^2)</f>
        <v>0</v>
      </c>
      <c r="Z39" s="138" t="n">
        <f aca="true">IF(OR($B39&gt;$B$5,Z$37&gt;$B$5),0,(LN(OFFSET($B$37,$B39,Z$37))-LN(OFFSET($O$37,$B39,0)/OFFSET($O$37,Z$37,0)))^2)</f>
        <v>0</v>
      </c>
      <c r="AA39" s="138" t="n">
        <f aca="true">IF(OR($B39&gt;$B$5,AA$37&gt;$B$5),0,(LN(OFFSET($B$37,$B39,AA$37))-LN(OFFSET($O$37,$B39,0)/OFFSET($O$37,AA$37,0)))^2)</f>
        <v>0</v>
      </c>
      <c r="AB39" s="145" t="n">
        <f aca="true">IF(OR($B39&gt;$B$5,AB$37&gt;$B$5),0,(LN(OFFSET($B$37,$B39,AB$37))-LN(OFFSET($O$37,$B39,0)/OFFSET($O$37,AB$37,0)))^2)</f>
        <v>0</v>
      </c>
      <c r="AC39" s="138" t="n">
        <f aca="false">SUM(T39:AB39)</f>
        <v>0</v>
      </c>
      <c r="AH39" s="122"/>
      <c r="AI39" s="122"/>
      <c r="AJ39" s="122"/>
      <c r="AK39" s="122"/>
      <c r="AL39" s="122"/>
      <c r="AM39" s="147"/>
      <c r="AN39" s="122"/>
    </row>
    <row r="40" customFormat="false" ht="20.1" hidden="false" customHeight="true" outlineLevel="0" collapsed="false">
      <c r="A40" s="140" t="n">
        <v>0</v>
      </c>
      <c r="B40" s="141" t="n">
        <v>3</v>
      </c>
      <c r="C40" s="148" t="n">
        <f aca="false">IF(INDEX($C$38:$L$47,C$37,$B40)&lt;&gt;0,1/INDEX($C$38:$L$47,C$37,$B40),0)</f>
        <v>0</v>
      </c>
      <c r="D40" s="148" t="n">
        <f aca="false">IF(INDEX($C$38:$L$47,D$37,$B40)&lt;&gt;0,1/INDEX($C$38:$L$47,D$37,$B40),0)</f>
        <v>0</v>
      </c>
      <c r="E40" s="142" t="n">
        <v>1</v>
      </c>
      <c r="F40" s="143" t="n">
        <f aca="false">IF(F52&lt;&gt;0,IF(F52&gt;=1, CHOOSE( $K$5, F52, LOG(F52+1,2), SQRT(F52), 9/(10-F52), (9+($B$5-1)*F52)/(9+$B$5-F52),  F52^2, 2^(F52-1),F52^(1+LN($B$5-1)/LN(9))), CHOOSE( $K$5, 1/F52, LOG(1/F52+1,2), SQRT(1/F52), 9/(10-1/F52), (9+($B$5-1)/F52)/(9+$B$5-1/F52),  (1/F52)^2, 2^(1/F52-1),(1/F52)^(1+LN($B$5-1)/LN(9)))^-1),0)</f>
        <v>0</v>
      </c>
      <c r="G40" s="143" t="n">
        <f aca="false">IF(G52&lt;&gt;0,IF(G52&gt;=1, CHOOSE( $K$5, G52, LOG(G52+1,2), SQRT(G52), 9/(10-G52), (9+($B$5-1)*G52)/(9+$B$5-G52),  G52^2, 2^(G52-1),G52^(1+LN($B$5-1)/LN(9))), CHOOSE( $K$5, 1/G52, LOG(1/G52+1,2), SQRT(1/G52), 9/(10-1/G52), (9+($B$5-1)/G52)/(9+$B$5-1/G52),  (1/G52)^2, 2^(1/G52-1),(1/G52)^(1+LN($B$5-1)/LN(9)))^-1),0)</f>
        <v>0</v>
      </c>
      <c r="H40" s="143" t="n">
        <f aca="false">IF(H52&lt;&gt;0,IF(H52&gt;=1, CHOOSE( $K$5, H52, LOG(H52+1,2), SQRT(H52), 9/(10-H52), (9+($B$5-1)*H52)/(9+$B$5-H52),  H52^2, 2^(H52-1),H52^(1+LN($B$5-1)/LN(9))), CHOOSE( $K$5, 1/H52, LOG(1/H52+1,2), SQRT(1/H52), 9/(10-1/H52), (9+($B$5-1)/H52)/(9+$B$5-1/H52),  (1/H52)^2, 2^(1/H52-1),(1/H52)^(1+LN($B$5-1)/LN(9)))^-1),0)</f>
        <v>0</v>
      </c>
      <c r="I40" s="143" t="n">
        <f aca="false">IF(I52&lt;&gt;0,IF(I52&gt;=1, CHOOSE( $K$5, I52, LOG(I52+1,2), SQRT(I52), 9/(10-I52), (9+($B$5-1)*I52)/(9+$B$5-I52),  I52^2, 2^(I52-1),I52^(1+LN($B$5-1)/LN(9))), CHOOSE( $K$5, 1/I52, LOG(1/I52+1,2), SQRT(1/I52), 9/(10-1/I52), (9+($B$5-1)/I52)/(9+$B$5-1/I52),  (1/I52)^2, 2^(1/I52-1),(1/I52)^(1+LN($B$5-1)/LN(9)))^-1),0)</f>
        <v>0</v>
      </c>
      <c r="J40" s="143" t="n">
        <f aca="false">IF(J52&lt;&gt;0,IF(J52&gt;=1, CHOOSE( $K$5, J52, LOG(J52+1,2), SQRT(J52), 9/(10-J52), (9+($B$5-1)*J52)/(9+$B$5-J52),  J52^2, 2^(J52-1),J52^(1+LN($B$5-1)/LN(9))), CHOOSE( $K$5, 1/J52, LOG(1/J52+1,2), SQRT(1/J52), 9/(10-1/J52), (9+($B$5-1)/J52)/(9+$B$5-1/J52),  (1/J52)^2, 2^(1/J52-1),(1/J52)^(1+LN($B$5-1)/LN(9)))^-1),0)</f>
        <v>0</v>
      </c>
      <c r="K40" s="143" t="n">
        <f aca="false">IF(K52&lt;&gt;0,IF(K52&gt;=1, CHOOSE( $K$5, K52, LOG(K52+1,2), SQRT(K52), 9/(10-K52), (9+($B$5-1)*K52)/(9+$B$5-K52),  K52^2, 2^(K52-1),K52^(1+LN($B$5-1)/LN(9))), CHOOSE( $K$5, 1/K52, LOG(1/K52+1,2), SQRT(1/K52), 9/(10-1/K52), (9+($B$5-1)/K52)/(9+$B$5-1/K52),  (1/K52)^2, 2^(1/K52-1),(1/K52)^(1+LN($B$5-1)/LN(9)))^-1),0)</f>
        <v>0</v>
      </c>
      <c r="L40" s="143" t="n">
        <f aca="false">IF(L52&lt;&gt;0,IF(L52&gt;=1, CHOOSE( $K$5, L52, LOG(L52+1,2), SQRT(L52), 9/(10-L52), (9+($B$5-1)*L52)/(9+$B$5-L52),  L52^2, 2^(L52-1),L52^(1+LN($B$5-1)/LN(9))), CHOOSE( $K$5, 1/L52, LOG(1/L52+1,2), SQRT(1/L52), 9/(10-1/L52), (9+($B$5-1)/L52)/(9+$B$5-1/L52),  (1/L52)^2, 2^(1/L52-1),(1/L52)^(1+LN($B$5-1)/LN(9)))^-1),0)</f>
        <v>0</v>
      </c>
      <c r="M40" s="34"/>
      <c r="N40" s="27"/>
      <c r="O40" s="144" t="n">
        <v>2.38418124355079E-007</v>
      </c>
      <c r="P40" s="144"/>
      <c r="Q40" s="27"/>
      <c r="R40" s="27"/>
      <c r="T40" s="138"/>
      <c r="U40" s="138"/>
      <c r="V40" s="138" t="n">
        <f aca="true">IF(OR($B40&gt;$B$5,V$37&gt;$B$5),0,(LN(OFFSET($B$37,$B40,V$37))-LN(OFFSET($O$37,$B40,0)/OFFSET($O$37,V$37,0)))^2)</f>
        <v>0</v>
      </c>
      <c r="W40" s="138" t="n">
        <f aca="true">IF(OR($B40&gt;$B$5,W$37&gt;$B$5),0,(LN(OFFSET($B$37,$B40,W$37))-LN(OFFSET($O$37,$B40,0)/OFFSET($O$37,W$37,0)))^2)</f>
        <v>0</v>
      </c>
      <c r="X40" s="138" t="n">
        <f aca="true">IF(OR($B40&gt;$B$5,X$37&gt;$B$5),0,(LN(OFFSET($B$37,$B40,X$37))-LN(OFFSET($O$37,$B40,0)/OFFSET($O$37,X$37,0)))^2)</f>
        <v>0</v>
      </c>
      <c r="Y40" s="138" t="n">
        <f aca="true">IF(OR($B40&gt;$B$5,Y$37&gt;$B$5),0,(LN(OFFSET($B$37,$B40,Y$37))-LN(OFFSET($O$37,$B40,0)/OFFSET($O$37,Y$37,0)))^2)</f>
        <v>0</v>
      </c>
      <c r="Z40" s="138" t="n">
        <f aca="true">IF(OR($B40&gt;$B$5,Z$37&gt;$B$5),0,(LN(OFFSET($B$37,$B40,Z$37))-LN(OFFSET($O$37,$B40,0)/OFFSET($O$37,Z$37,0)))^2)</f>
        <v>0</v>
      </c>
      <c r="AA40" s="138" t="n">
        <f aca="true">IF(OR($B40&gt;$B$5,AA$37&gt;$B$5),0,(LN(OFFSET($B$37,$B40,AA$37))-LN(OFFSET($O$37,$B40,0)/OFFSET($O$37,AA$37,0)))^2)</f>
        <v>0</v>
      </c>
      <c r="AB40" s="145" t="n">
        <f aca="true">IF(OR($B40&gt;$B$5,AB$37&gt;$B$5),0,(LN(OFFSET($B$37,$B40,AB$37))-LN(OFFSET($O$37,$B40,0)/OFFSET($O$37,AB$37,0)))^2)</f>
        <v>0</v>
      </c>
      <c r="AC40" s="138" t="n">
        <f aca="false">SUM(T40:AB40)</f>
        <v>0</v>
      </c>
      <c r="AH40" s="122"/>
      <c r="AI40" s="122"/>
      <c r="AJ40" s="122"/>
      <c r="AK40" s="122"/>
      <c r="AL40" s="122"/>
      <c r="AM40" s="147"/>
      <c r="AN40" s="122"/>
    </row>
    <row r="41" customFormat="false" ht="20.1" hidden="false" customHeight="true" outlineLevel="0" collapsed="false">
      <c r="A41" s="140" t="n">
        <v>0</v>
      </c>
      <c r="B41" s="141" t="n">
        <v>4</v>
      </c>
      <c r="C41" s="148" t="n">
        <f aca="false">IF(INDEX($C$38:$L$47,C$37,$B41)&lt;&gt;0,1/INDEX($C$38:$L$47,C$37,$B41),0)</f>
        <v>0</v>
      </c>
      <c r="D41" s="148" t="n">
        <f aca="false">IF(INDEX($C$38:$L$47,D$37,$B41)&lt;&gt;0,1/INDEX($C$38:$L$47,D$37,$B41),0)</f>
        <v>0</v>
      </c>
      <c r="E41" s="148" t="n">
        <f aca="false">IF(INDEX($C$38:$L$47,E$37,$B41)&lt;&gt;0,1/INDEX($C$38:$L$47,E$37,$B41),0)</f>
        <v>0</v>
      </c>
      <c r="F41" s="142" t="n">
        <v>1</v>
      </c>
      <c r="G41" s="143" t="n">
        <f aca="false">IF(G53&lt;&gt;0,IF(G53&gt;=1, CHOOSE( $K$5, G53, LOG(G53+1,2), SQRT(G53), 9/(10-G53), (9+($B$5-1)*G53)/(9+$B$5-G53),  G53^2, 2^(G53-1),G53^(1+LN($B$5-1)/LN(9))), CHOOSE( $K$5, 1/G53, LOG(1/G53+1,2), SQRT(1/G53), 9/(10-1/G53), (9+($B$5-1)/G53)/(9+$B$5-1/G53),  (1/G53)^2, 2^(1/G53-1),(1/G53)^(1+LN($B$5-1)/LN(9)))^-1),0)</f>
        <v>0</v>
      </c>
      <c r="H41" s="143" t="n">
        <f aca="false">IF(H53&lt;&gt;0,IF(H53&gt;=1, CHOOSE( $K$5, H53, LOG(H53+1,2), SQRT(H53), 9/(10-H53), (9+($B$5-1)*H53)/(9+$B$5-H53),  H53^2, 2^(H53-1),H53^(1+LN($B$5-1)/LN(9))), CHOOSE( $K$5, 1/H53, LOG(1/H53+1,2), SQRT(1/H53), 9/(10-1/H53), (9+($B$5-1)/H53)/(9+$B$5-1/H53),  (1/H53)^2, 2^(1/H53-1),(1/H53)^(1+LN($B$5-1)/LN(9)))^-1),0)</f>
        <v>0</v>
      </c>
      <c r="I41" s="143" t="n">
        <f aca="false">IF(I53&lt;&gt;0,IF(I53&gt;=1, CHOOSE( $K$5, I53, LOG(I53+1,2), SQRT(I53), 9/(10-I53), (9+($B$5-1)*I53)/(9+$B$5-I53),  I53^2, 2^(I53-1),I53^(1+LN($B$5-1)/LN(9))), CHOOSE( $K$5, 1/I53, LOG(1/I53+1,2), SQRT(1/I53), 9/(10-1/I53), (9+($B$5-1)/I53)/(9+$B$5-1/I53),  (1/I53)^2, 2^(1/I53-1),(1/I53)^(1+LN($B$5-1)/LN(9)))^-1),0)</f>
        <v>0</v>
      </c>
      <c r="J41" s="143" t="n">
        <f aca="false">IF(J53&lt;&gt;0,IF(J53&gt;=1, CHOOSE( $K$5, J53, LOG(J53+1,2), SQRT(J53), 9/(10-J53), (9+($B$5-1)*J53)/(9+$B$5-J53),  J53^2, 2^(J53-1),J53^(1+LN($B$5-1)/LN(9))), CHOOSE( $K$5, 1/J53, LOG(1/J53+1,2), SQRT(1/J53), 9/(10-1/J53), (9+($B$5-1)/J53)/(9+$B$5-1/J53),  (1/J53)^2, 2^(1/J53-1),(1/J53)^(1+LN($B$5-1)/LN(9)))^-1),0)</f>
        <v>0</v>
      </c>
      <c r="K41" s="143" t="n">
        <f aca="false">IF(K53&lt;&gt;0,IF(K53&gt;=1, CHOOSE( $K$5, K53, LOG(K53+1,2), SQRT(K53), 9/(10-K53), (9+($B$5-1)*K53)/(9+$B$5-K53),  K53^2, 2^(K53-1),K53^(1+LN($B$5-1)/LN(9))), CHOOSE( $K$5, 1/K53, LOG(1/K53+1,2), SQRT(1/K53), 9/(10-1/K53), (9+($B$5-1)/K53)/(9+$B$5-1/K53),  (1/K53)^2, 2^(1/K53-1),(1/K53)^(1+LN($B$5-1)/LN(9)))^-1),0)</f>
        <v>0</v>
      </c>
      <c r="L41" s="143" t="n">
        <f aca="false">IF(L53&lt;&gt;0,IF(L53&gt;=1, CHOOSE( $K$5, L53, LOG(L53+1,2), SQRT(L53), 9/(10-L53), (9+($B$5-1)*L53)/(9+$B$5-L53),  L53^2, 2^(L53-1),L53^(1+LN($B$5-1)/LN(9))), CHOOSE( $K$5, 1/L53, LOG(1/L53+1,2), SQRT(1/L53), 9/(10-1/L53), (9+($B$5-1)/L53)/(9+$B$5-1/L53),  (1/L53)^2, 2^(1/L53-1),(1/L53)^(1+LN($B$5-1)/LN(9)))^-1),0)</f>
        <v>0</v>
      </c>
      <c r="M41" s="34"/>
      <c r="N41" s="27"/>
      <c r="O41" s="144" t="n">
        <v>2.38418124355079E-007</v>
      </c>
      <c r="P41" s="144"/>
      <c r="Q41" s="27"/>
      <c r="R41" s="27"/>
      <c r="T41" s="138"/>
      <c r="U41" s="138"/>
      <c r="V41" s="138"/>
      <c r="W41" s="138" t="n">
        <f aca="true">IF(OR($B41&gt;$B$5,W$37&gt;$B$5),0,(LN(OFFSET($B$37,$B41,W$37))-LN(OFFSET($O$37,$B41,0)/OFFSET($O$37,W$37,0)))^2)</f>
        <v>0</v>
      </c>
      <c r="X41" s="138" t="n">
        <f aca="true">IF(OR($B41&gt;$B$5,X$37&gt;$B$5),0,(LN(OFFSET($B$37,$B41,X$37))-LN(OFFSET($O$37,$B41,0)/OFFSET($O$37,X$37,0)))^2)</f>
        <v>0</v>
      </c>
      <c r="Y41" s="138" t="n">
        <f aca="true">IF(OR($B41&gt;$B$5,Y$37&gt;$B$5),0,(LN(OFFSET($B$37,$B41,Y$37))-LN(OFFSET($O$37,$B41,0)/OFFSET($O$37,Y$37,0)))^2)</f>
        <v>0</v>
      </c>
      <c r="Z41" s="138" t="n">
        <f aca="true">IF(OR($B41&gt;$B$5,Z$37&gt;$B$5),0,(LN(OFFSET($B$37,$B41,Z$37))-LN(OFFSET($O$37,$B41,0)/OFFSET($O$37,Z$37,0)))^2)</f>
        <v>0</v>
      </c>
      <c r="AA41" s="138" t="n">
        <f aca="true">IF(OR($B41&gt;$B$5,AA$37&gt;$B$5),0,(LN(OFFSET($B$37,$B41,AA$37))-LN(OFFSET($O$37,$B41,0)/OFFSET($O$37,AA$37,0)))^2)</f>
        <v>0</v>
      </c>
      <c r="AB41" s="145" t="n">
        <f aca="true">IF(OR($B41&gt;$B$5,AB$37&gt;$B$5),0,(LN(OFFSET($B$37,$B41,AB$37))-LN(OFFSET($O$37,$B41,0)/OFFSET($O$37,AB$37,0)))^2)</f>
        <v>0</v>
      </c>
      <c r="AC41" s="138" t="n">
        <f aca="false">SUM(T41:AB41)</f>
        <v>0</v>
      </c>
      <c r="AH41" s="122"/>
      <c r="AI41" s="122"/>
      <c r="AJ41" s="122"/>
      <c r="AK41" s="122"/>
      <c r="AL41" s="122"/>
      <c r="AM41" s="147"/>
      <c r="AN41" s="122"/>
    </row>
    <row r="42" customFormat="false" ht="20.1" hidden="false" customHeight="true" outlineLevel="0" collapsed="false">
      <c r="A42" s="140" t="n">
        <v>0</v>
      </c>
      <c r="B42" s="141" t="n">
        <v>5</v>
      </c>
      <c r="C42" s="148" t="n">
        <f aca="false">IF(INDEX($C$38:$L$47,C$37,$B42)&lt;&gt;0,1/INDEX($C$38:$L$47,C$37,$B42),0)</f>
        <v>0</v>
      </c>
      <c r="D42" s="148" t="n">
        <f aca="false">IF(INDEX($C$38:$L$47,D$37,$B42)&lt;&gt;0,1/INDEX($C$38:$L$47,D$37,$B42),0)</f>
        <v>0</v>
      </c>
      <c r="E42" s="148" t="n">
        <f aca="false">IF(INDEX($C$38:$L$47,E$37,$B42)&lt;&gt;0,1/INDEX($C$38:$L$47,E$37,$B42),0)</f>
        <v>0</v>
      </c>
      <c r="F42" s="148" t="n">
        <f aca="false">IF(INDEX($C$38:$L$47,F$37,$B42)&lt;&gt;0,1/INDEX($C$38:$L$47,F$37,$B42),0)</f>
        <v>0</v>
      </c>
      <c r="G42" s="142" t="n">
        <v>1</v>
      </c>
      <c r="H42" s="143" t="n">
        <f aca="false">IF(H54&lt;&gt;0,IF(H54&gt;=1, CHOOSE( $K$5, H54, LOG(H54+1,2), SQRT(H54), 9/(10-H54), (9+($B$5-1)*H54)/(9+$B$5-H54),  H54^2, 2^(H54-1),H54^(1+LN($B$5-1)/LN(9))), CHOOSE( $K$5, 1/H54, LOG(1/H54+1,2), SQRT(1/H54), 9/(10-1/H54), (9+($B$5-1)/H54)/(9+$B$5-1/H54),  (1/H54)^2, 2^(1/H54-1),(1/H54)^(1+LN($B$5-1)/LN(9)))^-1),0)</f>
        <v>0</v>
      </c>
      <c r="I42" s="143" t="n">
        <f aca="false">IF(I54&lt;&gt;0,IF(I54&gt;=1, CHOOSE( $K$5, I54, LOG(I54+1,2), SQRT(I54), 9/(10-I54), (9+($B$5-1)*I54)/(9+$B$5-I54),  I54^2, 2^(I54-1),I54^(1+LN($B$5-1)/LN(9))), CHOOSE( $K$5, 1/I54, LOG(1/I54+1,2), SQRT(1/I54), 9/(10-1/I54), (9+($B$5-1)/I54)/(9+$B$5-1/I54),  (1/I54)^2, 2^(1/I54-1),(1/I54)^(1+LN($B$5-1)/LN(9)))^-1),0)</f>
        <v>0</v>
      </c>
      <c r="J42" s="143" t="n">
        <f aca="false">IF(J54&lt;&gt;0,IF(J54&gt;=1, CHOOSE( $K$5, J54, LOG(J54+1,2), SQRT(J54), 9/(10-J54), (9+($B$5-1)*J54)/(9+$B$5-J54),  J54^2, 2^(J54-1),J54^(1+LN($B$5-1)/LN(9))), CHOOSE( $K$5, 1/J54, LOG(1/J54+1,2), SQRT(1/J54), 9/(10-1/J54), (9+($B$5-1)/J54)/(9+$B$5-1/J54),  (1/J54)^2, 2^(1/J54-1),(1/J54)^(1+LN($B$5-1)/LN(9)))^-1),0)</f>
        <v>0</v>
      </c>
      <c r="K42" s="143" t="n">
        <f aca="false">IF(K54&lt;&gt;0,IF(K54&gt;=1, CHOOSE( $K$5, K54, LOG(K54+1,2), SQRT(K54), 9/(10-K54), (9+($B$5-1)*K54)/(9+$B$5-K54),  K54^2, 2^(K54-1),K54^(1+LN($B$5-1)/LN(9))), CHOOSE( $K$5, 1/K54, LOG(1/K54+1,2), SQRT(1/K54), 9/(10-1/K54), (9+($B$5-1)/K54)/(9+$B$5-1/K54),  (1/K54)^2, 2^(1/K54-1),(1/K54)^(1+LN($B$5-1)/LN(9)))^-1),0)</f>
        <v>0</v>
      </c>
      <c r="L42" s="143" t="n">
        <f aca="false">IF(L54&lt;&gt;0,IF(L54&gt;=1, CHOOSE( $K$5, L54, LOG(L54+1,2), SQRT(L54), 9/(10-L54), (9+($B$5-1)*L54)/(9+$B$5-L54),  L54^2, 2^(L54-1),L54^(1+LN($B$5-1)/LN(9))), CHOOSE( $K$5, 1/L54, LOG(1/L54+1,2), SQRT(1/L54), 9/(10-1/L54), (9+($B$5-1)/L54)/(9+$B$5-1/L54),  (1/L54)^2, 2^(1/L54-1),(1/L54)^(1+LN($B$5-1)/LN(9)))^-1),0)</f>
        <v>0</v>
      </c>
      <c r="M42" s="34"/>
      <c r="N42" s="27"/>
      <c r="O42" s="144" t="n">
        <v>2.38418124355079E-007</v>
      </c>
      <c r="P42" s="144"/>
      <c r="Q42" s="27"/>
      <c r="R42" s="27"/>
      <c r="T42" s="138"/>
      <c r="U42" s="138"/>
      <c r="V42" s="138"/>
      <c r="W42" s="138"/>
      <c r="X42" s="138" t="n">
        <f aca="true">IF(OR($B42&gt;$B$5,X$37&gt;$B$5),0,(LN(OFFSET($B$37,$B42,X$37))-LN(OFFSET($O$37,$B42,0)/OFFSET($O$37,X$37,0)))^2)</f>
        <v>0</v>
      </c>
      <c r="Y42" s="138" t="n">
        <f aca="true">IF(OR($B42&gt;$B$5,Y$37&gt;$B$5),0,(LN(OFFSET($B$37,$B42,Y$37))-LN(OFFSET($O$37,$B42,0)/OFFSET($O$37,Y$37,0)))^2)</f>
        <v>0</v>
      </c>
      <c r="Z42" s="138" t="n">
        <f aca="true">IF(OR($B42&gt;$B$5,Z$37&gt;$B$5),0,(LN(OFFSET($B$37,$B42,Z$37))-LN(OFFSET($O$37,$B42,0)/OFFSET($O$37,Z$37,0)))^2)</f>
        <v>0</v>
      </c>
      <c r="AA42" s="138" t="n">
        <f aca="true">IF(OR($B42&gt;$B$5,AA$37&gt;$B$5),0,(LN(OFFSET($B$37,$B42,AA$37))-LN(OFFSET($O$37,$B42,0)/OFFSET($O$37,AA$37,0)))^2)</f>
        <v>0</v>
      </c>
      <c r="AB42" s="145" t="n">
        <f aca="true">IF(OR($B42&gt;$B$5,AB$37&gt;$B$5),0,(LN(OFFSET($B$37,$B42,AB$37))-LN(OFFSET($O$37,$B42,0)/OFFSET($O$37,AB$37,0)))^2)</f>
        <v>0</v>
      </c>
      <c r="AC42" s="138" t="n">
        <f aca="false">SUM(T42:AB42)</f>
        <v>0</v>
      </c>
      <c r="AH42" s="122"/>
      <c r="AI42" s="122"/>
      <c r="AJ42" s="122"/>
      <c r="AK42" s="122"/>
      <c r="AL42" s="122"/>
      <c r="AM42" s="147"/>
      <c r="AN42" s="122"/>
    </row>
    <row r="43" customFormat="false" ht="20.1" hidden="false" customHeight="true" outlineLevel="0" collapsed="false">
      <c r="A43" s="140" t="n">
        <v>0</v>
      </c>
      <c r="B43" s="141" t="n">
        <v>6</v>
      </c>
      <c r="C43" s="148" t="n">
        <f aca="false">IF(INDEX($C$38:$L$47,C$37,$B43)&lt;&gt;0,1/INDEX($C$38:$L$47,C$37,$B43),0)</f>
        <v>0</v>
      </c>
      <c r="D43" s="148" t="n">
        <f aca="false">IF(INDEX($C$38:$L$47,D$37,$B43)&lt;&gt;0,1/INDEX($C$38:$L$47,D$37,$B43),0)</f>
        <v>0</v>
      </c>
      <c r="E43" s="148" t="n">
        <f aca="false">IF(INDEX($C$38:$L$47,E$37,$B43)&lt;&gt;0,1/INDEX($C$38:$L$47,E$37,$B43),0)</f>
        <v>0</v>
      </c>
      <c r="F43" s="148" t="n">
        <f aca="false">IF(INDEX($C$38:$L$47,F$37,$B43)&lt;&gt;0,1/INDEX($C$38:$L$47,F$37,$B43),0)</f>
        <v>0</v>
      </c>
      <c r="G43" s="148" t="n">
        <f aca="false">IF(INDEX($C$38:$L$47,G$37,$B43)&lt;&gt;0,1/INDEX($C$38:$L$47,G$37,$B43),0)</f>
        <v>0</v>
      </c>
      <c r="H43" s="142" t="n">
        <v>1</v>
      </c>
      <c r="I43" s="143" t="n">
        <f aca="false">IF(I55&lt;&gt;0,IF(I55&gt;=1, CHOOSE( $K$5, I55, LOG(I55+1,2), SQRT(I55), 9/(10-I55), (9+($B$5-1)*I55)/(9+$B$5-I55),  I55^2, 2^(I55-1),I55^(1+LN($B$5-1)/LN(9))), CHOOSE( $K$5, 1/I55, LOG(1/I55+1,2), SQRT(1/I55), 9/(10-1/I55), (9+($B$5-1)/I55)/(9+$B$5-1/I55),  (1/I55)^2, 2^(1/I55-1),(1/I55)^(1+LN($B$5-1)/LN(9)))^-1),0)</f>
        <v>0</v>
      </c>
      <c r="J43" s="143" t="n">
        <f aca="false">IF(J55&lt;&gt;0,IF(J55&gt;=1, CHOOSE( $K$5, J55, LOG(J55+1,2), SQRT(J55), 9/(10-J55), (9+($B$5-1)*J55)/(9+$B$5-J55),  J55^2, 2^(J55-1),J55^(1+LN($B$5-1)/LN(9))), CHOOSE( $K$5, 1/J55, LOG(1/J55+1,2), SQRT(1/J55), 9/(10-1/J55), (9+($B$5-1)/J55)/(9+$B$5-1/J55),  (1/J55)^2, 2^(1/J55-1),(1/J55)^(1+LN($B$5-1)/LN(9)))^-1),0)</f>
        <v>0</v>
      </c>
      <c r="K43" s="143" t="n">
        <f aca="false">IF(K55&lt;&gt;0,IF(K55&gt;=1, CHOOSE( $K$5, K55, LOG(K55+1,2), SQRT(K55), 9/(10-K55), (9+($B$5-1)*K55)/(9+$B$5-K55),  K55^2, 2^(K55-1),K55^(1+LN($B$5-1)/LN(9))), CHOOSE( $K$5, 1/K55, LOG(1/K55+1,2), SQRT(1/K55), 9/(10-1/K55), (9+($B$5-1)/K55)/(9+$B$5-1/K55),  (1/K55)^2, 2^(1/K55-1),(1/K55)^(1+LN($B$5-1)/LN(9)))^-1),0)</f>
        <v>0</v>
      </c>
      <c r="L43" s="143" t="n">
        <f aca="false">IF(L55&lt;&gt;0,IF(L55&gt;=1, CHOOSE( $K$5, L55, LOG(L55+1,2), SQRT(L55), 9/(10-L55), (9+($B$5-1)*L55)/(9+$B$5-L55),  L55^2, 2^(L55-1),L55^(1+LN($B$5-1)/LN(9))), CHOOSE( $K$5, 1/L55, LOG(1/L55+1,2), SQRT(1/L55), 9/(10-1/L55), (9+($B$5-1)/L55)/(9+$B$5-1/L55),  (1/L55)^2, 2^(1/L55-1),(1/L55)^(1+LN($B$5-1)/LN(9)))^-1),0)</f>
        <v>0</v>
      </c>
      <c r="M43" s="34"/>
      <c r="N43" s="27"/>
      <c r="O43" s="144" t="n">
        <v>2.38418124355079E-007</v>
      </c>
      <c r="P43" s="144"/>
      <c r="Q43" s="27"/>
      <c r="R43" s="27"/>
      <c r="T43" s="138"/>
      <c r="U43" s="138"/>
      <c r="V43" s="138"/>
      <c r="W43" s="138"/>
      <c r="X43" s="138"/>
      <c r="Y43" s="138" t="n">
        <f aca="true">IF(OR($B43&gt;$B$5,Y$37&gt;$B$5),0,(LN(OFFSET($B$37,$B43,Y$37))-LN(OFFSET($O$37,$B43,0)/OFFSET($O$37,Y$37,0)))^2)</f>
        <v>0</v>
      </c>
      <c r="Z43" s="138" t="n">
        <f aca="true">IF(OR($B43&gt;$B$5,Z$37&gt;$B$5),0,(LN(OFFSET($B$37,$B43,Z$37))-LN(OFFSET($O$37,$B43,0)/OFFSET($O$37,Z$37,0)))^2)</f>
        <v>0</v>
      </c>
      <c r="AA43" s="138" t="n">
        <f aca="true">IF(OR($B43&gt;$B$5,AA$37&gt;$B$5),0,(LN(OFFSET($B$37,$B43,AA$37))-LN(OFFSET($O$37,$B43,0)/OFFSET($O$37,AA$37,0)))^2)</f>
        <v>0</v>
      </c>
      <c r="AB43" s="145" t="n">
        <f aca="true">IF(OR($B43&gt;$B$5,AB$37&gt;$B$5),0,(LN(OFFSET($B$37,$B43,AB$37))-LN(OFFSET($O$37,$B43,0)/OFFSET($O$37,AB$37,0)))^2)</f>
        <v>0</v>
      </c>
      <c r="AC43" s="138" t="n">
        <f aca="false">SUM(T43:AB43)</f>
        <v>0</v>
      </c>
    </row>
    <row r="44" customFormat="false" ht="20.1" hidden="false" customHeight="true" outlineLevel="0" collapsed="false">
      <c r="A44" s="140" t="n">
        <v>0</v>
      </c>
      <c r="B44" s="149" t="n">
        <v>7</v>
      </c>
      <c r="C44" s="148" t="n">
        <f aca="false">IF(INDEX($C$38:$L$47,C$37,$B44)&lt;&gt;0,1/INDEX($C$38:$L$47,C$37,$B44),0)</f>
        <v>0</v>
      </c>
      <c r="D44" s="148" t="n">
        <f aca="false">IF(INDEX($C$38:$L$47,D$37,$B44)&lt;&gt;0,1/INDEX($C$38:$L$47,D$37,$B44),0)</f>
        <v>0</v>
      </c>
      <c r="E44" s="148" t="n">
        <f aca="false">IF(INDEX($C$38:$L$47,E$37,$B44)&lt;&gt;0,1/INDEX($C$38:$L$47,E$37,$B44),0)</f>
        <v>0</v>
      </c>
      <c r="F44" s="148" t="n">
        <f aca="false">IF(INDEX($C$38:$L$47,F$37,$B44)&lt;&gt;0,1/INDEX($C$38:$L$47,F$37,$B44),0)</f>
        <v>0</v>
      </c>
      <c r="G44" s="148" t="n">
        <f aca="false">IF(INDEX($C$38:$L$47,G$37,$B44)&lt;&gt;0,1/INDEX($C$38:$L$47,G$37,$B44),0)</f>
        <v>0</v>
      </c>
      <c r="H44" s="148" t="n">
        <f aca="false">IF(INDEX($C$38:$L$47,H$37,$B44)&lt;&gt;0,1/INDEX($C$38:$L$47,H$37,$B44),0)</f>
        <v>0</v>
      </c>
      <c r="I44" s="142" t="n">
        <v>1</v>
      </c>
      <c r="J44" s="143" t="n">
        <f aca="false">IF(J56&lt;&gt;0,IF(J56&gt;=1, CHOOSE( $K$5, J56, LOG(J56+1,2), SQRT(J56), 9/(10-J56), (9+($B$5-1)*J56)/(9+$B$5-J56),  J56^2, 2^(J56-1),J56^(1+LN($B$5-1)/LN(9))), CHOOSE( $K$5, 1/J56, LOG(1/J56+1,2), SQRT(1/J56), 9/(10-1/J56), (9+($B$5-1)/J56)/(9+$B$5-1/J56),  (1/J56)^2, 2^(1/J56-1),(1/J56)^(1+LN($B$5-1)/LN(9)))^-1),0)</f>
        <v>0</v>
      </c>
      <c r="K44" s="143" t="n">
        <f aca="false">IF(K56&lt;&gt;0,IF(K56&gt;=1, CHOOSE( $K$5, K56, LOG(K56+1,2), SQRT(K56), 9/(10-K56), (9+($B$5-1)*K56)/(9+$B$5-K56),  K56^2, 2^(K56-1),K56^(1+LN($B$5-1)/LN(9))), CHOOSE( $K$5, 1/K56, LOG(1/K56+1,2), SQRT(1/K56), 9/(10-1/K56), (9+($B$5-1)/K56)/(9+$B$5-1/K56),  (1/K56)^2, 2^(1/K56-1),(1/K56)^(1+LN($B$5-1)/LN(9)))^-1),0)</f>
        <v>0</v>
      </c>
      <c r="L44" s="143" t="n">
        <f aca="false">IF(L56&lt;&gt;0,IF(L56&gt;=1, CHOOSE( $K$5, L56, LOG(L56+1,2), SQRT(L56), 9/(10-L56), (9+($B$5-1)*L56)/(9+$B$5-L56),  L56^2, 2^(L56-1),L56^(1+LN($B$5-1)/LN(9))), CHOOSE( $K$5, 1/L56, LOG(1/L56+1,2), SQRT(1/L56), 9/(10-1/L56), (9+($B$5-1)/L56)/(9+$B$5-1/L56),  (1/L56)^2, 2^(1/L56-1),(1/L56)^(1+LN($B$5-1)/LN(9)))^-1),0)</f>
        <v>0</v>
      </c>
      <c r="M44" s="34"/>
      <c r="N44" s="27"/>
      <c r="O44" s="144" t="n">
        <v>2.38418124355079E-007</v>
      </c>
      <c r="P44" s="144"/>
      <c r="Q44" s="27"/>
      <c r="R44" s="27"/>
      <c r="T44" s="138"/>
      <c r="U44" s="138"/>
      <c r="V44" s="138"/>
      <c r="W44" s="138"/>
      <c r="X44" s="138"/>
      <c r="Y44" s="138"/>
      <c r="Z44" s="138" t="n">
        <f aca="true">IF(OR($B44&gt;$B$5,Z$37&gt;$B$5),0,(LN(OFFSET($B$37,$B44,Z$37))-LN(OFFSET($O$37,$B44,0)/OFFSET($O$37,Z$37,0)))^2)</f>
        <v>0</v>
      </c>
      <c r="AA44" s="138" t="n">
        <f aca="true">IF(OR($B44&gt;$B$5,AA$37&gt;$B$5),0,(LN(OFFSET($B$37,$B44,AA$37))-LN(OFFSET($O$37,$B44,0)/OFFSET($O$37,AA$37,0)))^2)</f>
        <v>0</v>
      </c>
      <c r="AB44" s="145" t="n">
        <f aca="true">IF(OR($B44&gt;$B$5,AB$37&gt;$B$5),0,(LN(OFFSET($B$37,$B44,AB$37))-LN(OFFSET($O$37,$B44,0)/OFFSET($O$37,AB$37,0)))^2)</f>
        <v>0</v>
      </c>
      <c r="AC44" s="138" t="n">
        <f aca="false">SUM(T44:AB44)</f>
        <v>0</v>
      </c>
      <c r="AH44" s="122"/>
      <c r="AI44" s="122"/>
      <c r="AJ44" s="122"/>
      <c r="AK44" s="122"/>
      <c r="AL44" s="122"/>
      <c r="AM44" s="122"/>
      <c r="AN44" s="122"/>
    </row>
    <row r="45" customFormat="false" ht="20.1" hidden="false" customHeight="true" outlineLevel="0" collapsed="false">
      <c r="A45" s="140" t="n">
        <v>0</v>
      </c>
      <c r="B45" s="149" t="n">
        <v>8</v>
      </c>
      <c r="C45" s="148" t="n">
        <f aca="false">IF(INDEX($C$38:$L$47,C$37,$B45)&lt;&gt;0,1/INDEX($C$38:$L$47,C$37,$B45),0)</f>
        <v>0</v>
      </c>
      <c r="D45" s="148" t="n">
        <f aca="false">IF(INDEX($C$38:$L$47,D$37,$B45)&lt;&gt;0,1/INDEX($C$38:$L$47,D$37,$B45),0)</f>
        <v>0</v>
      </c>
      <c r="E45" s="148" t="n">
        <f aca="false">IF(INDEX($C$38:$L$47,E$37,$B45)&lt;&gt;0,1/INDEX($C$38:$L$47,E$37,$B45),0)</f>
        <v>0</v>
      </c>
      <c r="F45" s="148" t="n">
        <f aca="false">IF(INDEX($C$38:$L$47,F$37,$B45)&lt;&gt;0,1/INDEX($C$38:$L$47,F$37,$B45),0)</f>
        <v>0</v>
      </c>
      <c r="G45" s="148" t="n">
        <f aca="false">IF(INDEX($C$38:$L$47,G$37,$B45)&lt;&gt;0,1/INDEX($C$38:$L$47,G$37,$B45),0)</f>
        <v>0</v>
      </c>
      <c r="H45" s="148" t="n">
        <f aca="false">IF(INDEX($C$38:$L$47,H$37,$B45)&lt;&gt;0,1/INDEX($C$38:$L$47,H$37,$B45),0)</f>
        <v>0</v>
      </c>
      <c r="I45" s="148" t="n">
        <f aca="false">IF(INDEX($C$38:$L$47,I$37,$B45)&lt;&gt;0,1/INDEX($C$38:$L$47,I$37,$B45),0)</f>
        <v>0</v>
      </c>
      <c r="J45" s="142" t="n">
        <v>1</v>
      </c>
      <c r="K45" s="143" t="n">
        <f aca="false">IF(K57&lt;&gt;0,IF(K57&gt;=1, CHOOSE( $K$5, K57, LOG(K57+1,2), SQRT(K57), 9/(10-K57), (9+($B$5-1)*K57)/(9+$B$5-K57),  K57^2, 2^(K57-1),K57^(1+LN($B$5-1)/LN(9))), CHOOSE( $K$5, 1/K57, LOG(1/K57+1,2), SQRT(1/K57), 9/(10-1/K57), (9+($B$5-1)/K57)/(9+$B$5-1/K57),  (1/K57)^2, 2^(1/K57-1),(1/K57)^(1+LN($B$5-1)/LN(9)))^-1),0)</f>
        <v>0</v>
      </c>
      <c r="L45" s="143" t="n">
        <f aca="false">IF(L57&lt;&gt;0,IF(L57&gt;=1, CHOOSE( $K$5, L57, LOG(L57+1,2), SQRT(L57), 9/(10-L57), (9+($B$5-1)*L57)/(9+$B$5-L57),  L57^2, 2^(L57-1),L57^(1+LN($B$5-1)/LN(9))), CHOOSE( $K$5, 1/L57, LOG(1/L57+1,2), SQRT(1/L57), 9/(10-1/L57), (9+($B$5-1)/L57)/(9+$B$5-1/L57),  (1/L57)^2, 2^(1/L57-1),(1/L57)^(1+LN($B$5-1)/LN(9)))^-1),0)</f>
        <v>0</v>
      </c>
      <c r="M45" s="34"/>
      <c r="N45" s="27"/>
      <c r="O45" s="144" t="n">
        <v>2.38418124355079E-007</v>
      </c>
      <c r="P45" s="144"/>
      <c r="Q45" s="27"/>
      <c r="R45" s="27"/>
      <c r="T45" s="138"/>
      <c r="U45" s="138"/>
      <c r="V45" s="138"/>
      <c r="W45" s="138"/>
      <c r="X45" s="138"/>
      <c r="Y45" s="138"/>
      <c r="Z45" s="138"/>
      <c r="AA45" s="138" t="n">
        <f aca="true">IF(OR($B45&gt;$B$5,AA$37&gt;$B$5),0,(LN(OFFSET($B$37,$B45,AA$37))-LN(OFFSET($O$37,$B45,0)/OFFSET($O$37,AA$37,0)))^2)</f>
        <v>0</v>
      </c>
      <c r="AB45" s="145" t="n">
        <f aca="true">IF(OR($B45&gt;$B$5,AB$37&gt;$B$5),0,(LN(OFFSET($B$37,$B45,AB$37))-LN(OFFSET($O$37,$B45,0)/OFFSET($O$37,AB$37,0)))^2)</f>
        <v>0</v>
      </c>
      <c r="AC45" s="138" t="n">
        <f aca="false">SUM(T45:AB45)</f>
        <v>0</v>
      </c>
      <c r="AI45" s="122"/>
      <c r="AJ45" s="122"/>
      <c r="AK45" s="122"/>
      <c r="AL45" s="122"/>
    </row>
    <row r="46" customFormat="false" ht="20.1" hidden="false" customHeight="true" outlineLevel="0" collapsed="false">
      <c r="A46" s="140" t="n">
        <v>0</v>
      </c>
      <c r="B46" s="149" t="n">
        <v>9</v>
      </c>
      <c r="C46" s="148" t="n">
        <f aca="false">IF(INDEX($C$38:$L$47,C$37,$B46)&lt;&gt;0,1/INDEX($C$38:$L$47,C$37,$B46),0)</f>
        <v>0</v>
      </c>
      <c r="D46" s="148" t="n">
        <f aca="false">IF(INDEX($C$38:$L$47,D$37,$B46)&lt;&gt;0,1/INDEX($C$38:$L$47,D$37,$B46),0)</f>
        <v>0</v>
      </c>
      <c r="E46" s="148" t="n">
        <f aca="false">IF(INDEX($C$38:$L$47,E$37,$B46)&lt;&gt;0,1/INDEX($C$38:$L$47,E$37,$B46),0)</f>
        <v>0</v>
      </c>
      <c r="F46" s="148" t="n">
        <f aca="false">IF(INDEX($C$38:$L$47,F$37,$B46)&lt;&gt;0,1/INDEX($C$38:$L$47,F$37,$B46),0)</f>
        <v>0</v>
      </c>
      <c r="G46" s="148" t="n">
        <f aca="false">IF(INDEX($C$38:$L$47,G$37,$B46)&lt;&gt;0,1/INDEX($C$38:$L$47,G$37,$B46),0)</f>
        <v>0</v>
      </c>
      <c r="H46" s="148" t="n">
        <f aca="false">IF(INDEX($C$38:$L$47,H$37,$B46)&lt;&gt;0,1/INDEX($C$38:$L$47,H$37,$B46),0)</f>
        <v>0</v>
      </c>
      <c r="I46" s="148" t="n">
        <f aca="false">IF(INDEX($C$38:$L$47,I$37,$B46)&lt;&gt;0,1/INDEX($C$38:$L$47,I$37,$B46),0)</f>
        <v>0</v>
      </c>
      <c r="J46" s="148" t="n">
        <f aca="false">IF(INDEX($C$38:$L$47,J$37,$B46)&lt;&gt;0,1/INDEX($C$38:$L$47,J$37,$B46),0)</f>
        <v>0</v>
      </c>
      <c r="K46" s="142" t="n">
        <v>1</v>
      </c>
      <c r="L46" s="143" t="n">
        <f aca="false">IF(L58&lt;&gt;0,IF(L58&gt;=1, CHOOSE( $K$5, L58, LOG(L58+1,2), SQRT(L58), 9/(10-L58), (9+($B$5-1)*L58)/(9+$B$5-L58),  L58^2, 2^(L58-1),L58^(1+LN($B$5-1)/LN(9))), CHOOSE( $K$5, 1/L58, LOG(1/L58+1,2), SQRT(1/L58), 9/(10-1/L58), (9+($B$5-1)/L58)/(9+$B$5-1/L58),  (1/L58)^2, 2^(1/L58-1),(1/L58)^(1+LN($B$5-1)/LN(9)))^-1),0)</f>
        <v>0</v>
      </c>
      <c r="M46" s="34"/>
      <c r="N46" s="27"/>
      <c r="O46" s="144" t="n">
        <v>2.38418124355079E-007</v>
      </c>
      <c r="P46" s="144"/>
      <c r="Q46" s="27"/>
      <c r="R46" s="27"/>
      <c r="T46" s="138"/>
      <c r="U46" s="138"/>
      <c r="V46" s="138"/>
      <c r="W46" s="138"/>
      <c r="X46" s="138"/>
      <c r="Y46" s="138"/>
      <c r="Z46" s="138"/>
      <c r="AA46" s="138"/>
      <c r="AB46" s="145" t="n">
        <f aca="true">IF(OR($B46&gt;$B$5,AB$37&gt;$B$5),0,(LN(OFFSET($B$37,$B46,AB$37))-LN(OFFSET($O$37,$B46,0)/OFFSET($O$37,AB$37,0)))^2)</f>
        <v>0</v>
      </c>
      <c r="AC46" s="138" t="n">
        <f aca="false">SUM(T46:AB46)</f>
        <v>0</v>
      </c>
      <c r="AJ46" s="122"/>
      <c r="AK46" s="122"/>
      <c r="AL46" s="122"/>
    </row>
    <row r="47" customFormat="false" ht="20.1" hidden="false" customHeight="true" outlineLevel="0" collapsed="false">
      <c r="A47" s="140" t="n">
        <v>0</v>
      </c>
      <c r="B47" s="149" t="n">
        <v>10</v>
      </c>
      <c r="C47" s="148" t="n">
        <f aca="false">IF(INDEX($C$38:$L$47,C$37,$B47)&lt;&gt;0,1/INDEX($C$38:$L$47,C$37,$B47),0)</f>
        <v>0</v>
      </c>
      <c r="D47" s="148" t="n">
        <f aca="false">IF(INDEX($C$38:$L$47,D$37,$B47)&lt;&gt;0,1/INDEX($C$38:$L$47,D$37,$B47),0)</f>
        <v>0</v>
      </c>
      <c r="E47" s="148" t="n">
        <f aca="false">IF(INDEX($C$38:$L$47,E$37,$B47)&lt;&gt;0,1/INDEX($C$38:$L$47,E$37,$B47),0)</f>
        <v>0</v>
      </c>
      <c r="F47" s="148" t="n">
        <f aca="false">IF(INDEX($C$38:$L$47,F$37,$B47)&lt;&gt;0,1/INDEX($C$38:$L$47,F$37,$B47),0)</f>
        <v>0</v>
      </c>
      <c r="G47" s="148" t="n">
        <f aca="false">IF(INDEX($C$38:$L$47,G$37,$B47)&lt;&gt;0,1/INDEX($C$38:$L$47,G$37,$B47),0)</f>
        <v>0</v>
      </c>
      <c r="H47" s="148" t="n">
        <f aca="false">IF(INDEX($C$38:$L$47,H$37,$B47)&lt;&gt;0,1/INDEX($C$38:$L$47,H$37,$B47),0)</f>
        <v>0</v>
      </c>
      <c r="I47" s="148" t="n">
        <f aca="false">IF(INDEX($C$38:$L$47,I$37,$B47)&lt;&gt;0,1/INDEX($C$38:$L$47,I$37,$B47),0)</f>
        <v>0</v>
      </c>
      <c r="J47" s="148" t="n">
        <f aca="false">IF(INDEX($C$38:$L$47,J$37,$B47)&lt;&gt;0,1/INDEX($C$38:$L$47,J$37,$B47),0)</f>
        <v>0</v>
      </c>
      <c r="K47" s="148" t="n">
        <f aca="false">IF(INDEX($C$38:$L$47,K$37,$B47)&lt;&gt;0,1/INDEX($C$38:$L$47,K$37,$B47),0)</f>
        <v>0</v>
      </c>
      <c r="L47" s="142" t="n">
        <v>1</v>
      </c>
      <c r="M47" s="34"/>
      <c r="N47" s="27"/>
      <c r="O47" s="144" t="n">
        <v>2.38418124355079E-007</v>
      </c>
      <c r="P47" s="144"/>
      <c r="Q47" s="27"/>
      <c r="R47" s="27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K47" s="122"/>
      <c r="AL47" s="122"/>
    </row>
    <row r="48" customFormat="false" ht="12.75" hidden="true" customHeight="false" outlineLevel="1" collapsed="false">
      <c r="A48" s="32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32"/>
      <c r="P48" s="32"/>
      <c r="Q48" s="27"/>
      <c r="R48" s="27"/>
      <c r="T48" s="2" t="s">
        <v>92</v>
      </c>
      <c r="AK48" s="122"/>
      <c r="AL48" s="122"/>
    </row>
    <row r="49" customFormat="false" ht="12.75" hidden="true" customHeight="false" outlineLevel="1" collapsed="false">
      <c r="A49" s="32"/>
      <c r="B49" s="43"/>
      <c r="C49" s="135" t="n">
        <v>1</v>
      </c>
      <c r="D49" s="135" t="n">
        <v>2</v>
      </c>
      <c r="E49" s="135" t="n">
        <v>3</v>
      </c>
      <c r="F49" s="135" t="n">
        <v>4</v>
      </c>
      <c r="G49" s="135" t="n">
        <v>5</v>
      </c>
      <c r="H49" s="135" t="n">
        <v>6</v>
      </c>
      <c r="I49" s="135" t="n">
        <v>7</v>
      </c>
      <c r="J49" s="135" t="n">
        <v>8</v>
      </c>
      <c r="K49" s="135" t="n">
        <v>9</v>
      </c>
      <c r="L49" s="135" t="n">
        <v>10</v>
      </c>
      <c r="M49" s="108"/>
      <c r="N49" s="108"/>
      <c r="O49" s="32"/>
      <c r="P49" s="32"/>
      <c r="Q49" s="27"/>
      <c r="R49" s="27"/>
      <c r="S49" s="150" t="s">
        <v>93</v>
      </c>
      <c r="T49" s="150" t="n">
        <v>1</v>
      </c>
      <c r="U49" s="150" t="n">
        <v>2</v>
      </c>
      <c r="V49" s="150" t="n">
        <v>3</v>
      </c>
      <c r="W49" s="150" t="n">
        <v>4</v>
      </c>
      <c r="X49" s="150" t="n">
        <v>5</v>
      </c>
      <c r="Y49" s="150" t="n">
        <v>6</v>
      </c>
      <c r="Z49" s="150" t="n">
        <v>7</v>
      </c>
      <c r="AA49" s="150" t="n">
        <v>8</v>
      </c>
      <c r="AB49" s="150" t="n">
        <v>9</v>
      </c>
      <c r="AC49" s="150" t="n">
        <v>10</v>
      </c>
      <c r="AL49" s="122"/>
    </row>
    <row r="50" customFormat="false" ht="20.1" hidden="true" customHeight="true" outlineLevel="1" collapsed="false">
      <c r="A50" s="151" t="s">
        <v>94</v>
      </c>
      <c r="B50" s="141" t="n">
        <v>1</v>
      </c>
      <c r="C50" s="142" t="n">
        <f aca="false" t="array" ref="C50:L59">CHOOSE(p_sel+1,m_p0,m_p1,m_p2,m_p3,m_p4,m_p5,m_p6,m_p7,m_p8,m_p9,m_p10,m_p11,m_p12,m_p13,m_p14,m_p15,m_p16,m_p17,m_p18,m_p19,m_p20)</f>
        <v>0</v>
      </c>
      <c r="D50" s="143" t="n">
        <v>1</v>
      </c>
      <c r="E50" s="143" t="n">
        <v>0</v>
      </c>
      <c r="F50" s="143" t="n">
        <v>0</v>
      </c>
      <c r="G50" s="143" t="n">
        <v>0</v>
      </c>
      <c r="H50" s="143" t="n">
        <v>0</v>
      </c>
      <c r="I50" s="143" t="n">
        <v>0</v>
      </c>
      <c r="J50" s="143" t="n">
        <v>0</v>
      </c>
      <c r="K50" s="143" t="n">
        <v>0</v>
      </c>
      <c r="L50" s="143" t="n">
        <v>0</v>
      </c>
      <c r="M50" s="108"/>
      <c r="N50" s="108"/>
      <c r="O50" s="32"/>
      <c r="P50" s="32"/>
      <c r="Q50" s="27"/>
      <c r="R50" s="27"/>
      <c r="S50" s="150" t="n">
        <v>1</v>
      </c>
      <c r="T50" s="152" t="n">
        <f aca="false">IF(OR($S50&gt;$B$5,T$49&gt;$B$5),"-",$B$5/$L$30*INDEX($C$38:$L$47,$S50,T$49)*INDEX($O$38:$O$47,T$49,0))</f>
        <v>0.5</v>
      </c>
      <c r="U50" s="153" t="n">
        <f aca="false">IF(OR($S50&gt;$B$5,U$49&gt;$B$5),"-",$B$5/$L$30*INDEX($C$38:$L$47,$S50,U$49)*INDEX($O$38:$O$47,U$49,0))</f>
        <v>0.5</v>
      </c>
      <c r="V50" s="153" t="str">
        <f aca="false">IF(OR($S50&gt;$B$5,V$49&gt;$B$5),"-",$B$5/$L$30*INDEX($C$38:$L$47,$S50,V$49)*INDEX($O$38:$O$47,V$49,0))</f>
        <v>-</v>
      </c>
      <c r="W50" s="153" t="str">
        <f aca="false">IF(OR($S50&gt;$B$5,W$49&gt;$B$5),"-",$B$5/$L$30*INDEX($C$38:$L$47,$S50,W$49)*INDEX($O$38:$O$47,W$49,0))</f>
        <v>-</v>
      </c>
      <c r="X50" s="153" t="str">
        <f aca="false">IF(OR($S50&gt;$B$5,X$49&gt;$B$5),"-",$B$5/$L$30*INDEX($C$38:$L$47,$S50,X$49)*INDEX($O$38:$O$47,X$49,0))</f>
        <v>-</v>
      </c>
      <c r="Y50" s="153" t="str">
        <f aca="false">IF(OR($S50&gt;$B$5,Y$49&gt;$B$5),"-",$B$5/$L$30*INDEX($C$38:$L$47,$S50,Y$49)*INDEX($O$38:$O$47,Y$49,0))</f>
        <v>-</v>
      </c>
      <c r="Z50" s="153" t="str">
        <f aca="false">IF(OR($S50&gt;$B$5,Z$49&gt;$B$5),"-",$B$5/$L$30*INDEX($C$38:$L$47,$S50,Z$49)*INDEX($O$38:$O$47,Z$49,0))</f>
        <v>-</v>
      </c>
      <c r="AA50" s="153" t="str">
        <f aca="false">IF(OR($S50&gt;$B$5,AA$49&gt;$B$5),"-",$B$5/$L$30*INDEX($C$38:$L$47,$S50,AA$49)*INDEX($O$38:$O$47,AA$49,0))</f>
        <v>-</v>
      </c>
      <c r="AB50" s="153" t="str">
        <f aca="false">IF(OR($S50&gt;$B$5,AB$49&gt;$B$5),"-",$B$5/$L$30*INDEX($C$38:$L$47,$S50,AB$49)*INDEX($O$38:$O$47,AB$49,0))</f>
        <v>-</v>
      </c>
      <c r="AC50" s="153" t="str">
        <f aca="false">IF(OR($S50&gt;$B$5,AC$49&gt;$B$5),"-",$B$5/$L$30*INDEX($C$38:$L$47,$S50,AC$49)*INDEX($O$38:$O$47,AC$49,0))</f>
        <v>-</v>
      </c>
      <c r="AD50" s="154"/>
      <c r="AE50" s="155"/>
      <c r="AL50" s="122"/>
    </row>
    <row r="51" customFormat="false" ht="20.1" hidden="true" customHeight="true" outlineLevel="1" collapsed="false">
      <c r="A51" s="32"/>
      <c r="B51" s="141" t="n">
        <v>2</v>
      </c>
      <c r="C51" s="148" t="n">
        <v>1</v>
      </c>
      <c r="D51" s="142" t="n">
        <v>0</v>
      </c>
      <c r="E51" s="143" t="n">
        <v>0</v>
      </c>
      <c r="F51" s="143" t="n">
        <v>0</v>
      </c>
      <c r="G51" s="143" t="n">
        <v>0</v>
      </c>
      <c r="H51" s="143" t="n">
        <v>0</v>
      </c>
      <c r="I51" s="143" t="n">
        <v>0</v>
      </c>
      <c r="J51" s="143" t="n">
        <v>0</v>
      </c>
      <c r="K51" s="143" t="n">
        <v>0</v>
      </c>
      <c r="L51" s="143" t="n">
        <v>0</v>
      </c>
      <c r="M51" s="108"/>
      <c r="N51" s="108"/>
      <c r="O51" s="32"/>
      <c r="P51" s="32"/>
      <c r="Q51" s="27"/>
      <c r="R51" s="27"/>
      <c r="S51" s="150" t="n">
        <v>2</v>
      </c>
      <c r="T51" s="156" t="n">
        <f aca="false">IF(OR($S51&gt;$B$5,T$49&gt;$B$5),"-",$B$5/$L$30*INDEX($C$38:$L$47,$S51,T$49)*INDEX($O$38:$O$47,T$49,0))</f>
        <v>0.5</v>
      </c>
      <c r="U51" s="152" t="n">
        <f aca="false">IF(OR($S51&gt;$B$5,U$49&gt;$B$5),"-",$B$5/$L$30*INDEX($C$38:$L$47,$S51,U$49)*INDEX($O$38:$O$47,U$49,0))</f>
        <v>0.5</v>
      </c>
      <c r="V51" s="153" t="str">
        <f aca="false">IF(OR($S51&gt;$B$5,V$49&gt;$B$5),"-",$B$5/$L$30*INDEX($C$38:$L$47,$S51,V$49)*INDEX($O$38:$O$47,V$49,0))</f>
        <v>-</v>
      </c>
      <c r="W51" s="153" t="str">
        <f aca="false">IF(OR($S51&gt;$B$5,W$49&gt;$B$5),"-",$B$5/$L$30*INDEX($C$38:$L$47,$S51,W$49)*INDEX($O$38:$O$47,W$49,0))</f>
        <v>-</v>
      </c>
      <c r="X51" s="153" t="str">
        <f aca="false">IF(OR($S51&gt;$B$5,X$49&gt;$B$5),"-",$B$5/$L$30*INDEX($C$38:$L$47,$S51,X$49)*INDEX($O$38:$O$47,X$49,0))</f>
        <v>-</v>
      </c>
      <c r="Y51" s="153" t="str">
        <f aca="false">IF(OR($S51&gt;$B$5,Y$49&gt;$B$5),"-",$B$5/$L$30*INDEX($C$38:$L$47,$S51,Y$49)*INDEX($O$38:$O$47,Y$49,0))</f>
        <v>-</v>
      </c>
      <c r="Z51" s="153" t="str">
        <f aca="false">IF(OR($S51&gt;$B$5,Z$49&gt;$B$5),"-",$B$5/$L$30*INDEX($C$38:$L$47,$S51,Z$49)*INDEX($O$38:$O$47,Z$49,0))</f>
        <v>-</v>
      </c>
      <c r="AA51" s="153" t="str">
        <f aca="false">IF(OR($S51&gt;$B$5,AA$49&gt;$B$5),"-",$B$5/$L$30*INDEX($C$38:$L$47,$S51,AA$49)*INDEX($O$38:$O$47,AA$49,0))</f>
        <v>-</v>
      </c>
      <c r="AB51" s="153" t="str">
        <f aca="false">IF(OR($S51&gt;$B$5,AB$49&gt;$B$5),"-",$B$5/$L$30*INDEX($C$38:$L$47,$S51,AB$49)*INDEX($O$38:$O$47,AB$49,0))</f>
        <v>-</v>
      </c>
      <c r="AC51" s="153" t="str">
        <f aca="false">IF(OR($S51&gt;$B$5,AC$49&gt;$B$5),"-",$B$5/$L$30*INDEX($C$38:$L$47,$S51,AC$49)*INDEX($O$38:$O$47,AC$49,0))</f>
        <v>-</v>
      </c>
      <c r="AL51" s="122"/>
    </row>
    <row r="52" customFormat="false" ht="20.1" hidden="true" customHeight="true" outlineLevel="1" collapsed="false">
      <c r="A52" s="32"/>
      <c r="B52" s="141" t="n">
        <v>3</v>
      </c>
      <c r="C52" s="148" t="n">
        <v>0</v>
      </c>
      <c r="D52" s="148" t="n">
        <v>0</v>
      </c>
      <c r="E52" s="142" t="n">
        <v>0</v>
      </c>
      <c r="F52" s="143" t="n">
        <v>0</v>
      </c>
      <c r="G52" s="143" t="n">
        <v>0</v>
      </c>
      <c r="H52" s="143" t="n">
        <v>0</v>
      </c>
      <c r="I52" s="143" t="n">
        <v>0</v>
      </c>
      <c r="J52" s="143" t="n">
        <v>0</v>
      </c>
      <c r="K52" s="143" t="n">
        <v>0</v>
      </c>
      <c r="L52" s="143" t="n">
        <v>0</v>
      </c>
      <c r="M52" s="108"/>
      <c r="N52" s="108"/>
      <c r="O52" s="32"/>
      <c r="P52" s="32"/>
      <c r="Q52" s="27"/>
      <c r="R52" s="27"/>
      <c r="S52" s="150" t="n">
        <v>3</v>
      </c>
      <c r="T52" s="156" t="str">
        <f aca="false">IF(OR($S52&gt;$B$5,T$49&gt;$B$5),"-",$B$5/$L$30*INDEX($C$38:$L$47,$S52,T$49)*INDEX($O$38:$O$47,T$49,0))</f>
        <v>-</v>
      </c>
      <c r="U52" s="156" t="str">
        <f aca="false">IF(OR($S52&gt;$B$5,U$49&gt;$B$5),"-",$B$5/$L$30*INDEX($C$38:$L$47,$S52,U$49)*INDEX($O$38:$O$47,U$49,0))</f>
        <v>-</v>
      </c>
      <c r="V52" s="152" t="str">
        <f aca="false">IF(OR($S52&gt;$B$5,V$49&gt;$B$5),"-",$B$5/$L$30*INDEX($C$38:$L$47,$S52,V$49)*INDEX($O$38:$O$47,V$49,0))</f>
        <v>-</v>
      </c>
      <c r="W52" s="153" t="str">
        <f aca="false">IF(OR($S52&gt;$B$5,W$49&gt;$B$5),"-",$B$5/$L$30*INDEX($C$38:$L$47,$S52,W$49)*INDEX($O$38:$O$47,W$49,0))</f>
        <v>-</v>
      </c>
      <c r="X52" s="153" t="str">
        <f aca="false">IF(OR($S52&gt;$B$5,X$49&gt;$B$5),"-",$B$5/$L$30*INDEX($C$38:$L$47,$S52,X$49)*INDEX($O$38:$O$47,X$49,0))</f>
        <v>-</v>
      </c>
      <c r="Y52" s="153" t="str">
        <f aca="false">IF(OR($S52&gt;$B$5,Y$49&gt;$B$5),"-",$B$5/$L$30*INDEX($C$38:$L$47,$S52,Y$49)*INDEX($O$38:$O$47,Y$49,0))</f>
        <v>-</v>
      </c>
      <c r="Z52" s="153" t="str">
        <f aca="false">IF(OR($S52&gt;$B$5,Z$49&gt;$B$5),"-",$B$5/$L$30*INDEX($C$38:$L$47,$S52,Z$49)*INDEX($O$38:$O$47,Z$49,0))</f>
        <v>-</v>
      </c>
      <c r="AA52" s="153" t="str">
        <f aca="false">IF(OR($S52&gt;$B$5,AA$49&gt;$B$5),"-",$B$5/$L$30*INDEX($C$38:$L$47,$S52,AA$49)*INDEX($O$38:$O$47,AA$49,0))</f>
        <v>-</v>
      </c>
      <c r="AB52" s="153" t="str">
        <f aca="false">IF(OR($S52&gt;$B$5,AB$49&gt;$B$5),"-",$B$5/$L$30*INDEX($C$38:$L$47,$S52,AB$49)*INDEX($O$38:$O$47,AB$49,0))</f>
        <v>-</v>
      </c>
      <c r="AC52" s="153" t="str">
        <f aca="false">IF(OR($S52&gt;$B$5,AC$49&gt;$B$5),"-",$B$5/$L$30*INDEX($C$38:$L$47,$S52,AC$49)*INDEX($O$38:$O$47,AC$49,0))</f>
        <v>-</v>
      </c>
      <c r="AL52" s="122"/>
    </row>
    <row r="53" customFormat="false" ht="20.1" hidden="true" customHeight="true" outlineLevel="1" collapsed="false">
      <c r="A53" s="32"/>
      <c r="B53" s="141" t="n">
        <v>4</v>
      </c>
      <c r="C53" s="148" t="n">
        <v>0</v>
      </c>
      <c r="D53" s="148" t="n">
        <v>0</v>
      </c>
      <c r="E53" s="148" t="n">
        <v>0</v>
      </c>
      <c r="F53" s="142" t="n">
        <v>0</v>
      </c>
      <c r="G53" s="143" t="n">
        <v>0</v>
      </c>
      <c r="H53" s="143" t="n">
        <v>0</v>
      </c>
      <c r="I53" s="143" t="n">
        <v>0</v>
      </c>
      <c r="J53" s="143" t="n">
        <v>0</v>
      </c>
      <c r="K53" s="143" t="n">
        <v>0</v>
      </c>
      <c r="L53" s="143" t="n">
        <v>0</v>
      </c>
      <c r="M53" s="108"/>
      <c r="N53" s="108"/>
      <c r="O53" s="32"/>
      <c r="P53" s="32"/>
      <c r="Q53" s="27"/>
      <c r="R53" s="27"/>
      <c r="S53" s="150" t="n">
        <v>4</v>
      </c>
      <c r="T53" s="156" t="str">
        <f aca="false">IF(OR($S53&gt;$B$5,T$49&gt;$B$5),"-",$B$5/$L$30*INDEX($C$38:$L$47,$S53,T$49)*INDEX($O$38:$O$47,T$49,0))</f>
        <v>-</v>
      </c>
      <c r="U53" s="156" t="str">
        <f aca="false">IF(OR($S53&gt;$B$5,U$49&gt;$B$5),"-",$B$5/$L$30*INDEX($C$38:$L$47,$S53,U$49)*INDEX($O$38:$O$47,U$49,0))</f>
        <v>-</v>
      </c>
      <c r="V53" s="156" t="str">
        <f aca="false">IF(OR($S53&gt;$B$5,V$49&gt;$B$5),"-",$B$5/$L$30*INDEX($C$38:$L$47,$S53,V$49)*INDEX($O$38:$O$47,V$49,0))</f>
        <v>-</v>
      </c>
      <c r="W53" s="152" t="str">
        <f aca="false">IF(OR($S53&gt;$B$5,W$49&gt;$B$5),"-",$B$5/$L$30*INDEX($C$38:$L$47,$S53,W$49)*INDEX($O$38:$O$47,W$49,0))</f>
        <v>-</v>
      </c>
      <c r="X53" s="153" t="str">
        <f aca="false">IF(OR($S53&gt;$B$5,X$49&gt;$B$5),"-",$B$5/$L$30*INDEX($C$38:$L$47,$S53,X$49)*INDEX($O$38:$O$47,X$49,0))</f>
        <v>-</v>
      </c>
      <c r="Y53" s="153" t="str">
        <f aca="false">IF(OR($S53&gt;$B$5,Y$49&gt;$B$5),"-",$B$5/$L$30*INDEX($C$38:$L$47,$S53,Y$49)*INDEX($O$38:$O$47,Y$49,0))</f>
        <v>-</v>
      </c>
      <c r="Z53" s="153" t="str">
        <f aca="false">IF(OR($S53&gt;$B$5,Z$49&gt;$B$5),"-",$B$5/$L$30*INDEX($C$38:$L$47,$S53,Z$49)*INDEX($O$38:$O$47,Z$49,0))</f>
        <v>-</v>
      </c>
      <c r="AA53" s="153" t="str">
        <f aca="false">IF(OR($S53&gt;$B$5,AA$49&gt;$B$5),"-",$B$5/$L$30*INDEX($C$38:$L$47,$S53,AA$49)*INDEX($O$38:$O$47,AA$49,0))</f>
        <v>-</v>
      </c>
      <c r="AB53" s="153" t="str">
        <f aca="false">IF(OR($S53&gt;$B$5,AB$49&gt;$B$5),"-",$B$5/$L$30*INDEX($C$38:$L$47,$S53,AB$49)*INDEX($O$38:$O$47,AB$49,0))</f>
        <v>-</v>
      </c>
      <c r="AC53" s="153" t="str">
        <f aca="false">IF(OR($S53&gt;$B$5,AC$49&gt;$B$5),"-",$B$5/$L$30*INDEX($C$38:$L$47,$S53,AC$49)*INDEX($O$38:$O$47,AC$49,0))</f>
        <v>-</v>
      </c>
      <c r="AD53" s="2"/>
      <c r="AL53" s="122"/>
    </row>
    <row r="54" customFormat="false" ht="20.1" hidden="true" customHeight="true" outlineLevel="1" collapsed="false">
      <c r="A54" s="32"/>
      <c r="B54" s="141" t="n">
        <v>5</v>
      </c>
      <c r="C54" s="148" t="n">
        <v>0</v>
      </c>
      <c r="D54" s="148" t="n">
        <v>0</v>
      </c>
      <c r="E54" s="148" t="n">
        <v>0</v>
      </c>
      <c r="F54" s="148" t="n">
        <v>0</v>
      </c>
      <c r="G54" s="142" t="n">
        <v>0</v>
      </c>
      <c r="H54" s="143" t="n">
        <v>0</v>
      </c>
      <c r="I54" s="143" t="n">
        <v>0</v>
      </c>
      <c r="J54" s="143" t="n">
        <v>0</v>
      </c>
      <c r="K54" s="143" t="n">
        <v>0</v>
      </c>
      <c r="L54" s="143" t="n">
        <v>0</v>
      </c>
      <c r="M54" s="108"/>
      <c r="N54" s="108"/>
      <c r="O54" s="32"/>
      <c r="P54" s="32"/>
      <c r="Q54" s="27"/>
      <c r="R54" s="27"/>
      <c r="S54" s="150" t="n">
        <v>5</v>
      </c>
      <c r="T54" s="156" t="str">
        <f aca="false">IF(OR($S54&gt;$B$5,T$49&gt;$B$5),"-",$B$5/$L$30*INDEX($C$38:$L$47,$S54,T$49)*INDEX($O$38:$O$47,T$49,0))</f>
        <v>-</v>
      </c>
      <c r="U54" s="156" t="str">
        <f aca="false">IF(OR($S54&gt;$B$5,U$49&gt;$B$5),"-",$B$5/$L$30*INDEX($C$38:$L$47,$S54,U$49)*INDEX($O$38:$O$47,U$49,0))</f>
        <v>-</v>
      </c>
      <c r="V54" s="156" t="str">
        <f aca="false">IF(OR($S54&gt;$B$5,V$49&gt;$B$5),"-",$B$5/$L$30*INDEX($C$38:$L$47,$S54,V$49)*INDEX($O$38:$O$47,V$49,0))</f>
        <v>-</v>
      </c>
      <c r="W54" s="156" t="str">
        <f aca="false">IF(OR($S54&gt;$B$5,W$49&gt;$B$5),"-",$B$5/$L$30*INDEX($C$38:$L$47,$S54,W$49)*INDEX($O$38:$O$47,W$49,0))</f>
        <v>-</v>
      </c>
      <c r="X54" s="152" t="str">
        <f aca="false">IF(OR($S54&gt;$B$5,X$49&gt;$B$5),"-",$B$5/$L$30*INDEX($C$38:$L$47,$S54,X$49)*INDEX($O$38:$O$47,X$49,0))</f>
        <v>-</v>
      </c>
      <c r="Y54" s="153" t="str">
        <f aca="false">IF(OR($S54&gt;$B$5,Y$49&gt;$B$5),"-",$B$5/$L$30*INDEX($C$38:$L$47,$S54,Y$49)*INDEX($O$38:$O$47,Y$49,0))</f>
        <v>-</v>
      </c>
      <c r="Z54" s="153" t="str">
        <f aca="false">IF(OR($S54&gt;$B$5,Z$49&gt;$B$5),"-",$B$5/$L$30*INDEX($C$38:$L$47,$S54,Z$49)*INDEX($O$38:$O$47,Z$49,0))</f>
        <v>-</v>
      </c>
      <c r="AA54" s="153" t="str">
        <f aca="false">IF(OR($S54&gt;$B$5,AA$49&gt;$B$5),"-",$B$5/$L$30*INDEX($C$38:$L$47,$S54,AA$49)*INDEX($O$38:$O$47,AA$49,0))</f>
        <v>-</v>
      </c>
      <c r="AB54" s="153" t="str">
        <f aca="false">IF(OR($S54&gt;$B$5,AB$49&gt;$B$5),"-",$B$5/$L$30*INDEX($C$38:$L$47,$S54,AB$49)*INDEX($O$38:$O$47,AB$49,0))</f>
        <v>-</v>
      </c>
      <c r="AC54" s="153" t="str">
        <f aca="false">IF(OR($S54&gt;$B$5,AC$49&gt;$B$5),"-",$B$5/$L$30*INDEX($C$38:$L$47,$S54,AC$49)*INDEX($O$38:$O$47,AC$49,0))</f>
        <v>-</v>
      </c>
      <c r="AL54" s="122"/>
    </row>
    <row r="55" customFormat="false" ht="20.1" hidden="true" customHeight="true" outlineLevel="1" collapsed="false">
      <c r="A55" s="32"/>
      <c r="B55" s="141" t="n">
        <v>6</v>
      </c>
      <c r="C55" s="148" t="n">
        <v>0</v>
      </c>
      <c r="D55" s="148" t="n">
        <v>0</v>
      </c>
      <c r="E55" s="148" t="n">
        <v>0</v>
      </c>
      <c r="F55" s="148" t="n">
        <v>0</v>
      </c>
      <c r="G55" s="148" t="n">
        <v>0</v>
      </c>
      <c r="H55" s="142" t="n">
        <v>0</v>
      </c>
      <c r="I55" s="143" t="n">
        <v>0</v>
      </c>
      <c r="J55" s="143" t="n">
        <v>0</v>
      </c>
      <c r="K55" s="143" t="n">
        <v>0</v>
      </c>
      <c r="L55" s="143" t="n">
        <v>0</v>
      </c>
      <c r="M55" s="108"/>
      <c r="N55" s="108"/>
      <c r="O55" s="32"/>
      <c r="P55" s="32"/>
      <c r="Q55" s="27"/>
      <c r="R55" s="27"/>
      <c r="S55" s="150" t="n">
        <v>6</v>
      </c>
      <c r="T55" s="156" t="str">
        <f aca="false">IF(OR($S55&gt;$B$5,T$49&gt;$B$5),"-",$B$5/$L$30*INDEX($C$38:$L$47,$S55,T$49)*INDEX($O$38:$O$47,T$49,0))</f>
        <v>-</v>
      </c>
      <c r="U55" s="156" t="str">
        <f aca="false">IF(OR($S55&gt;$B$5,U$49&gt;$B$5),"-",$B$5/$L$30*INDEX($C$38:$L$47,$S55,U$49)*INDEX($O$38:$O$47,U$49,0))</f>
        <v>-</v>
      </c>
      <c r="V55" s="156" t="str">
        <f aca="false">IF(OR($S55&gt;$B$5,V$49&gt;$B$5),"-",$B$5/$L$30*INDEX($C$38:$L$47,$S55,V$49)*INDEX($O$38:$O$47,V$49,0))</f>
        <v>-</v>
      </c>
      <c r="W55" s="156" t="str">
        <f aca="false">IF(OR($S55&gt;$B$5,W$49&gt;$B$5),"-",$B$5/$L$30*INDEX($C$38:$L$47,$S55,W$49)*INDEX($O$38:$O$47,W$49,0))</f>
        <v>-</v>
      </c>
      <c r="X55" s="156" t="str">
        <f aca="false">IF(OR($S55&gt;$B$5,X$49&gt;$B$5),"-",$B$5/$L$30*INDEX($C$38:$L$47,$S55,X$49)*INDEX($O$38:$O$47,X$49,0))</f>
        <v>-</v>
      </c>
      <c r="Y55" s="152" t="str">
        <f aca="false">IF(OR($S55&gt;$B$5,Y$49&gt;$B$5),"-",$B$5/$L$30*INDEX($C$38:$L$47,$S55,Y$49)*INDEX($O$38:$O$47,Y$49,0))</f>
        <v>-</v>
      </c>
      <c r="Z55" s="153" t="str">
        <f aca="false">IF(OR($S55&gt;$B$5,Z$49&gt;$B$5),"-",$B$5/$L$30*INDEX($C$38:$L$47,$S55,Z$49)*INDEX($O$38:$O$47,Z$49,0))</f>
        <v>-</v>
      </c>
      <c r="AA55" s="153" t="str">
        <f aca="false">IF(OR($S55&gt;$B$5,AA$49&gt;$B$5),"-",$B$5/$L$30*INDEX($C$38:$L$47,$S55,AA$49)*INDEX($O$38:$O$47,AA$49,0))</f>
        <v>-</v>
      </c>
      <c r="AB55" s="153" t="str">
        <f aca="false">IF(OR($S55&gt;$B$5,AB$49&gt;$B$5),"-",$B$5/$L$30*INDEX($C$38:$L$47,$S55,AB$49)*INDEX($O$38:$O$47,AB$49,0))</f>
        <v>-</v>
      </c>
      <c r="AC55" s="153" t="str">
        <f aca="false">IF(OR($S55&gt;$B$5,AC$49&gt;$B$5),"-",$B$5/$L$30*INDEX($C$38:$L$47,$S55,AC$49)*INDEX($O$38:$O$47,AC$49,0))</f>
        <v>-</v>
      </c>
      <c r="AD55" s="157"/>
      <c r="AE55" s="158"/>
      <c r="AL55" s="122"/>
    </row>
    <row r="56" customFormat="false" ht="20.1" hidden="true" customHeight="true" outlineLevel="1" collapsed="false">
      <c r="A56" s="32"/>
      <c r="B56" s="149" t="n">
        <v>7</v>
      </c>
      <c r="C56" s="148" t="n">
        <v>0</v>
      </c>
      <c r="D56" s="148" t="n">
        <v>0</v>
      </c>
      <c r="E56" s="148" t="n">
        <v>0</v>
      </c>
      <c r="F56" s="148" t="n">
        <v>0</v>
      </c>
      <c r="G56" s="148" t="n">
        <v>0</v>
      </c>
      <c r="H56" s="148" t="n">
        <v>0</v>
      </c>
      <c r="I56" s="142" t="n">
        <v>0</v>
      </c>
      <c r="J56" s="143" t="n">
        <v>0</v>
      </c>
      <c r="K56" s="143" t="n">
        <v>0</v>
      </c>
      <c r="L56" s="143" t="n">
        <v>0</v>
      </c>
      <c r="M56" s="108"/>
      <c r="N56" s="108"/>
      <c r="O56" s="32"/>
      <c r="P56" s="32"/>
      <c r="Q56" s="27"/>
      <c r="R56" s="27"/>
      <c r="S56" s="150" t="n">
        <v>7</v>
      </c>
      <c r="T56" s="156" t="str">
        <f aca="false">IF(OR($S56&gt;$B$5,T$49&gt;$B$5),"-",$B$5/$L$30*INDEX($C$38:$L$47,$S56,T$49)*INDEX($O$38:$O$47,T$49,0))</f>
        <v>-</v>
      </c>
      <c r="U56" s="156" t="str">
        <f aca="false">IF(OR($S56&gt;$B$5,U$49&gt;$B$5),"-",$B$5/$L$30*INDEX($C$38:$L$47,$S56,U$49)*INDEX($O$38:$O$47,U$49,0))</f>
        <v>-</v>
      </c>
      <c r="V56" s="156" t="str">
        <f aca="false">IF(OR($S56&gt;$B$5,V$49&gt;$B$5),"-",$B$5/$L$30*INDEX($C$38:$L$47,$S56,V$49)*INDEX($O$38:$O$47,V$49,0))</f>
        <v>-</v>
      </c>
      <c r="W56" s="156" t="str">
        <f aca="false">IF(OR($S56&gt;$B$5,W$49&gt;$B$5),"-",$B$5/$L$30*INDEX($C$38:$L$47,$S56,W$49)*INDEX($O$38:$O$47,W$49,0))</f>
        <v>-</v>
      </c>
      <c r="X56" s="156" t="str">
        <f aca="false">IF(OR($S56&gt;$B$5,X$49&gt;$B$5),"-",$B$5/$L$30*INDEX($C$38:$L$47,$S56,X$49)*INDEX($O$38:$O$47,X$49,0))</f>
        <v>-</v>
      </c>
      <c r="Y56" s="156" t="str">
        <f aca="false">IF(OR($S56&gt;$B$5,Y$49&gt;$B$5),"-",$B$5/$L$30*INDEX($C$38:$L$47,$S56,Y$49)*INDEX($O$38:$O$47,Y$49,0))</f>
        <v>-</v>
      </c>
      <c r="Z56" s="152" t="str">
        <f aca="false">IF(OR($S56&gt;$B$5,Z$49&gt;$B$5),"-",$B$5/$L$30*INDEX($C$38:$L$47,$S56,Z$49)*INDEX($O$38:$O$47,Z$49,0))</f>
        <v>-</v>
      </c>
      <c r="AA56" s="153" t="str">
        <f aca="false">IF(OR($S56&gt;$B$5,AA$49&gt;$B$5),"-",$B$5/$L$30*INDEX($C$38:$L$47,$S56,AA$49)*INDEX($O$38:$O$47,AA$49,0))</f>
        <v>-</v>
      </c>
      <c r="AB56" s="153" t="str">
        <f aca="false">IF(OR($S56&gt;$B$5,AB$49&gt;$B$5),"-",$B$5/$L$30*INDEX($C$38:$L$47,$S56,AB$49)*INDEX($O$38:$O$47,AB$49,0))</f>
        <v>-</v>
      </c>
      <c r="AC56" s="153" t="str">
        <f aca="false">IF(OR($S56&gt;$B$5,AC$49&gt;$B$5),"-",$B$5/$L$30*INDEX($C$38:$L$47,$S56,AC$49)*INDEX($O$38:$O$47,AC$49,0))</f>
        <v>-</v>
      </c>
      <c r="AL56" s="122"/>
    </row>
    <row r="57" customFormat="false" ht="20.1" hidden="true" customHeight="true" outlineLevel="1" collapsed="false">
      <c r="A57" s="32"/>
      <c r="B57" s="149" t="n">
        <v>8</v>
      </c>
      <c r="C57" s="148" t="n">
        <v>0</v>
      </c>
      <c r="D57" s="148" t="n">
        <v>0</v>
      </c>
      <c r="E57" s="148" t="n">
        <v>0</v>
      </c>
      <c r="F57" s="148" t="n">
        <v>0</v>
      </c>
      <c r="G57" s="148" t="n">
        <v>0</v>
      </c>
      <c r="H57" s="148" t="n">
        <v>0</v>
      </c>
      <c r="I57" s="148" t="n">
        <v>0</v>
      </c>
      <c r="J57" s="142" t="n">
        <v>0</v>
      </c>
      <c r="K57" s="143" t="n">
        <v>0</v>
      </c>
      <c r="L57" s="143" t="n">
        <v>0</v>
      </c>
      <c r="M57" s="108"/>
      <c r="N57" s="108"/>
      <c r="O57" s="32"/>
      <c r="P57" s="32"/>
      <c r="Q57" s="27"/>
      <c r="R57" s="27"/>
      <c r="S57" s="150" t="n">
        <v>8</v>
      </c>
      <c r="T57" s="156" t="str">
        <f aca="false">IF(OR($S57&gt;$B$5,T$49&gt;$B$5),"-",$B$5/$L$30*INDEX($C$38:$L$47,$S57,T$49)*INDEX($O$38:$O$47,T$49,0))</f>
        <v>-</v>
      </c>
      <c r="U57" s="156" t="str">
        <f aca="false">IF(OR($S57&gt;$B$5,U$49&gt;$B$5),"-",$B$5/$L$30*INDEX($C$38:$L$47,$S57,U$49)*INDEX($O$38:$O$47,U$49,0))</f>
        <v>-</v>
      </c>
      <c r="V57" s="156" t="str">
        <f aca="false">IF(OR($S57&gt;$B$5,V$49&gt;$B$5),"-",$B$5/$L$30*INDEX($C$38:$L$47,$S57,V$49)*INDEX($O$38:$O$47,V$49,0))</f>
        <v>-</v>
      </c>
      <c r="W57" s="156" t="str">
        <f aca="false">IF(OR($S57&gt;$B$5,W$49&gt;$B$5),"-",$B$5/$L$30*INDEX($C$38:$L$47,$S57,W$49)*INDEX($O$38:$O$47,W$49,0))</f>
        <v>-</v>
      </c>
      <c r="X57" s="156" t="str">
        <f aca="false">IF(OR($S57&gt;$B$5,X$49&gt;$B$5),"-",$B$5/$L$30*INDEX($C$38:$L$47,$S57,X$49)*INDEX($O$38:$O$47,X$49,0))</f>
        <v>-</v>
      </c>
      <c r="Y57" s="156" t="str">
        <f aca="false">IF(OR($S57&gt;$B$5,Y$49&gt;$B$5),"-",$B$5/$L$30*INDEX($C$38:$L$47,$S57,Y$49)*INDEX($O$38:$O$47,Y$49,0))</f>
        <v>-</v>
      </c>
      <c r="Z57" s="156" t="str">
        <f aca="false">IF(OR($S57&gt;$B$5,Z$49&gt;$B$5),"-",$B$5/$L$30*INDEX($C$38:$L$47,$S57,Z$49)*INDEX($O$38:$O$47,Z$49,0))</f>
        <v>-</v>
      </c>
      <c r="AA57" s="152" t="str">
        <f aca="false">IF(OR($S57&gt;$B$5,AA$49&gt;$B$5),"-",$B$5/$L$30*INDEX($C$38:$L$47,$S57,AA$49)*INDEX($O$38:$O$47,AA$49,0))</f>
        <v>-</v>
      </c>
      <c r="AB57" s="153" t="str">
        <f aca="false">IF(OR($S57&gt;$B$5,AB$49&gt;$B$5),"-",$B$5/$L$30*INDEX($C$38:$L$47,$S57,AB$49)*INDEX($O$38:$O$47,AB$49,0))</f>
        <v>-</v>
      </c>
      <c r="AC57" s="153" t="str">
        <f aca="false">IF(OR($S57&gt;$B$5,AC$49&gt;$B$5),"-",$B$5/$L$30*INDEX($C$38:$L$47,$S57,AC$49)*INDEX($O$38:$O$47,AC$49,0))</f>
        <v>-</v>
      </c>
      <c r="AL57" s="122"/>
    </row>
    <row r="58" customFormat="false" ht="20.1" hidden="true" customHeight="true" outlineLevel="1" collapsed="false">
      <c r="A58" s="32"/>
      <c r="B58" s="149" t="n">
        <v>9</v>
      </c>
      <c r="C58" s="148" t="n">
        <v>0</v>
      </c>
      <c r="D58" s="148" t="n">
        <v>0</v>
      </c>
      <c r="E58" s="148" t="n">
        <v>0</v>
      </c>
      <c r="F58" s="148" t="n">
        <v>0</v>
      </c>
      <c r="G58" s="148" t="n">
        <v>0</v>
      </c>
      <c r="H58" s="148" t="n">
        <v>0</v>
      </c>
      <c r="I58" s="148" t="n">
        <v>0</v>
      </c>
      <c r="J58" s="148" t="n">
        <v>0</v>
      </c>
      <c r="K58" s="142" t="n">
        <v>0</v>
      </c>
      <c r="L58" s="143" t="n">
        <v>0</v>
      </c>
      <c r="M58" s="108"/>
      <c r="N58" s="108"/>
      <c r="O58" s="32"/>
      <c r="P58" s="32"/>
      <c r="Q58" s="27"/>
      <c r="R58" s="27"/>
      <c r="S58" s="150" t="n">
        <v>9</v>
      </c>
      <c r="T58" s="156" t="str">
        <f aca="false">IF(OR($S58&gt;$B$5,T$49&gt;$B$5),"-",$B$5/$L$30*INDEX($C$38:$L$47,$S58,T$49)*INDEX($O$38:$O$47,T$49,0))</f>
        <v>-</v>
      </c>
      <c r="U58" s="156" t="str">
        <f aca="false">IF(OR($S58&gt;$B$5,U$49&gt;$B$5),"-",$B$5/$L$30*INDEX($C$38:$L$47,$S58,U$49)*INDEX($O$38:$O$47,U$49,0))</f>
        <v>-</v>
      </c>
      <c r="V58" s="156" t="str">
        <f aca="false">IF(OR($S58&gt;$B$5,V$49&gt;$B$5),"-",$B$5/$L$30*INDEX($C$38:$L$47,$S58,V$49)*INDEX($O$38:$O$47,V$49,0))</f>
        <v>-</v>
      </c>
      <c r="W58" s="156" t="str">
        <f aca="false">IF(OR($S58&gt;$B$5,W$49&gt;$B$5),"-",$B$5/$L$30*INDEX($C$38:$L$47,$S58,W$49)*INDEX($O$38:$O$47,W$49,0))</f>
        <v>-</v>
      </c>
      <c r="X58" s="156" t="str">
        <f aca="false">IF(OR($S58&gt;$B$5,X$49&gt;$B$5),"-",$B$5/$L$30*INDEX($C$38:$L$47,$S58,X$49)*INDEX($O$38:$O$47,X$49,0))</f>
        <v>-</v>
      </c>
      <c r="Y58" s="156" t="str">
        <f aca="false">IF(OR($S58&gt;$B$5,Y$49&gt;$B$5),"-",$B$5/$L$30*INDEX($C$38:$L$47,$S58,Y$49)*INDEX($O$38:$O$47,Y$49,0))</f>
        <v>-</v>
      </c>
      <c r="Z58" s="156" t="str">
        <f aca="false">IF(OR($S58&gt;$B$5,Z$49&gt;$B$5),"-",$B$5/$L$30*INDEX($C$38:$L$47,$S58,Z$49)*INDEX($O$38:$O$47,Z$49,0))</f>
        <v>-</v>
      </c>
      <c r="AA58" s="156" t="str">
        <f aca="false">IF(OR($S58&gt;$B$5,AA$49&gt;$B$5),"-",$B$5/$L$30*INDEX($C$38:$L$47,$S58,AA$49)*INDEX($O$38:$O$47,AA$49,0))</f>
        <v>-</v>
      </c>
      <c r="AB58" s="152" t="str">
        <f aca="false">IF(OR($S58&gt;$B$5,AB$49&gt;$B$5),"-",$B$5/$L$30*INDEX($C$38:$L$47,$S58,AB$49)*INDEX($O$38:$O$47,AB$49,0))</f>
        <v>-</v>
      </c>
      <c r="AC58" s="153" t="str">
        <f aca="false">IF(OR($S58&gt;$B$5,AC$49&gt;$B$5),"-",$B$5/$L$30*INDEX($C$38:$L$47,$S58,AC$49)*INDEX($O$38:$O$47,AC$49,0))</f>
        <v>-</v>
      </c>
      <c r="AL58" s="122"/>
    </row>
    <row r="59" customFormat="false" ht="20.1" hidden="true" customHeight="true" outlineLevel="1" collapsed="false">
      <c r="A59" s="32"/>
      <c r="B59" s="149" t="n">
        <v>10</v>
      </c>
      <c r="C59" s="148" t="n">
        <v>0</v>
      </c>
      <c r="D59" s="148" t="n">
        <v>0</v>
      </c>
      <c r="E59" s="148" t="n">
        <v>0</v>
      </c>
      <c r="F59" s="148" t="n">
        <v>0</v>
      </c>
      <c r="G59" s="148" t="n">
        <v>0</v>
      </c>
      <c r="H59" s="148" t="n">
        <v>0</v>
      </c>
      <c r="I59" s="148" t="n">
        <v>0</v>
      </c>
      <c r="J59" s="148" t="n">
        <v>0</v>
      </c>
      <c r="K59" s="148" t="n">
        <v>0</v>
      </c>
      <c r="L59" s="142" t="n">
        <v>0</v>
      </c>
      <c r="M59" s="108"/>
      <c r="N59" s="108"/>
      <c r="O59" s="32"/>
      <c r="P59" s="32"/>
      <c r="Q59" s="27"/>
      <c r="R59" s="27"/>
      <c r="S59" s="150" t="n">
        <v>10</v>
      </c>
      <c r="T59" s="156" t="str">
        <f aca="false">IF(OR($S59&gt;$B$5,T$49&gt;$B$5),"-",$B$5/$L$30*INDEX($C$38:$L$47,$S59,T$49)*INDEX($O$38:$O$47,T$49,0))</f>
        <v>-</v>
      </c>
      <c r="U59" s="156" t="str">
        <f aca="false">IF(OR($S59&gt;$B$5,U$49&gt;$B$5),"-",$B$5/$L$30*INDEX($C$38:$L$47,$S59,U$49)*INDEX($O$38:$O$47,U$49,0))</f>
        <v>-</v>
      </c>
      <c r="V59" s="156" t="str">
        <f aca="false">IF(OR($S59&gt;$B$5,V$49&gt;$B$5),"-",$B$5/$L$30*INDEX($C$38:$L$47,$S59,V$49)*INDEX($O$38:$O$47,V$49,0))</f>
        <v>-</v>
      </c>
      <c r="W59" s="156" t="str">
        <f aca="false">IF(OR($S59&gt;$B$5,W$49&gt;$B$5),"-",$B$5/$L$30*INDEX($C$38:$L$47,$S59,W$49)*INDEX($O$38:$O$47,W$49,0))</f>
        <v>-</v>
      </c>
      <c r="X59" s="156" t="str">
        <f aca="false">IF(OR($S59&gt;$B$5,X$49&gt;$B$5),"-",$B$5/$L$30*INDEX($C$38:$L$47,$S59,X$49)*INDEX($O$38:$O$47,X$49,0))</f>
        <v>-</v>
      </c>
      <c r="Y59" s="156" t="str">
        <f aca="false">IF(OR($S59&gt;$B$5,Y$49&gt;$B$5),"-",$B$5/$L$30*INDEX($C$38:$L$47,$S59,Y$49)*INDEX($O$38:$O$47,Y$49,0))</f>
        <v>-</v>
      </c>
      <c r="Z59" s="156" t="str">
        <f aca="false">IF(OR($S59&gt;$B$5,Z$49&gt;$B$5),"-",$B$5/$L$30*INDEX($C$38:$L$47,$S59,Z$49)*INDEX($O$38:$O$47,Z$49,0))</f>
        <v>-</v>
      </c>
      <c r="AA59" s="156" t="str">
        <f aca="false">IF(OR($S59&gt;$B$5,AA$49&gt;$B$5),"-",$B$5/$L$30*INDEX($C$38:$L$47,$S59,AA$49)*INDEX($O$38:$O$47,AA$49,0))</f>
        <v>-</v>
      </c>
      <c r="AB59" s="156" t="str">
        <f aca="false">IF(OR($S59&gt;$B$5,AB$49&gt;$B$5),"-",$B$5/$L$30*INDEX($C$38:$L$47,$S59,AB$49)*INDEX($O$38:$O$47,AB$49,0))</f>
        <v>-</v>
      </c>
      <c r="AC59" s="152" t="str">
        <f aca="false">IF(OR($S59&gt;$B$5,AC$49&gt;$B$5),"-",$B$5/$L$30*INDEX($C$38:$L$47,$S59,AC$49)*INDEX($O$38:$O$47,AC$49,0))</f>
        <v>-</v>
      </c>
      <c r="AL59" s="122"/>
    </row>
    <row r="60" customFormat="false" ht="12.75" hidden="true" customHeight="false" outlineLevel="1" collapsed="false">
      <c r="A60" s="32"/>
      <c r="B60" s="108"/>
      <c r="C60" s="108"/>
      <c r="D60" s="108"/>
      <c r="E60" s="108"/>
      <c r="F60" s="108"/>
      <c r="G60" s="108"/>
      <c r="H60" s="108"/>
      <c r="I60" s="108"/>
      <c r="J60" s="108"/>
      <c r="K60" s="108"/>
      <c r="L60" s="108"/>
      <c r="M60" s="108"/>
      <c r="N60" s="108"/>
      <c r="O60" s="32"/>
      <c r="P60" s="32"/>
      <c r="Q60" s="27"/>
      <c r="R60" s="27"/>
      <c r="T60" s="159"/>
      <c r="U60" s="159"/>
      <c r="V60" s="159"/>
      <c r="W60" s="159"/>
      <c r="X60" s="159"/>
      <c r="Y60" s="159"/>
      <c r="Z60" s="159"/>
      <c r="AA60" s="159"/>
      <c r="AB60" s="159"/>
      <c r="AC60" s="159"/>
      <c r="AL60" s="122"/>
    </row>
    <row r="61" customFormat="false" ht="12.75" hidden="true" customHeight="false" outlineLevel="1" collapsed="false">
      <c r="T61" s="73" t="s">
        <v>95</v>
      </c>
      <c r="U61" s="59"/>
      <c r="V61" s="59"/>
      <c r="W61" s="59"/>
      <c r="X61" s="59"/>
      <c r="AE61" s="2"/>
      <c r="AL61" s="122"/>
    </row>
    <row r="62" customFormat="false" ht="12.75" hidden="true" customHeight="false" outlineLevel="1" collapsed="false">
      <c r="A62" s="160" t="s">
        <v>96</v>
      </c>
      <c r="B62" s="161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3"/>
      <c r="P62" s="108"/>
      <c r="T62" s="114" t="n">
        <v>1</v>
      </c>
      <c r="U62" s="114" t="n">
        <v>2</v>
      </c>
      <c r="V62" s="114" t="n">
        <v>3</v>
      </c>
      <c r="W62" s="114" t="n">
        <v>4</v>
      </c>
      <c r="X62" s="114" t="n">
        <v>5</v>
      </c>
      <c r="Y62" s="114" t="n">
        <v>6</v>
      </c>
      <c r="Z62" s="114" t="n">
        <v>7</v>
      </c>
      <c r="AA62" s="114" t="n">
        <v>8</v>
      </c>
      <c r="AB62" s="114" t="n">
        <v>9</v>
      </c>
      <c r="AC62" s="114" t="n">
        <v>10</v>
      </c>
      <c r="AE62" s="2"/>
      <c r="AF62" s="2"/>
      <c r="AL62" s="122"/>
    </row>
    <row r="63" customFormat="false" ht="12.95" hidden="true" customHeight="true" outlineLevel="1" collapsed="false">
      <c r="A63" s="164"/>
      <c r="B63" s="108"/>
      <c r="C63" s="165" t="n">
        <v>1</v>
      </c>
      <c r="D63" s="165" t="n">
        <v>2</v>
      </c>
      <c r="E63" s="165" t="n">
        <v>3</v>
      </c>
      <c r="F63" s="165" t="n">
        <v>4</v>
      </c>
      <c r="G63" s="165" t="n">
        <v>5</v>
      </c>
      <c r="H63" s="165" t="n">
        <v>6</v>
      </c>
      <c r="I63" s="165" t="n">
        <v>7</v>
      </c>
      <c r="J63" s="165" t="n">
        <v>8</v>
      </c>
      <c r="K63" s="165" t="n">
        <v>9</v>
      </c>
      <c r="L63" s="165" t="n">
        <v>10</v>
      </c>
      <c r="M63" s="166" t="n">
        <f aca="false">M105/M84</f>
        <v>1</v>
      </c>
      <c r="N63" s="167" t="s">
        <v>97</v>
      </c>
      <c r="O63" s="168"/>
      <c r="P63" s="108"/>
      <c r="Q63" s="169"/>
      <c r="R63" s="169"/>
      <c r="S63" s="170" t="n">
        <v>1</v>
      </c>
      <c r="T63" s="142"/>
      <c r="U63" s="143" t="e">
        <f aca="false">IF(OR($S63&gt;$B$5,U$62&gt;$B$5),0, 1/($B$5-2)*(   IF(AND($S63&lt;&gt;1,U$62&lt;&gt;1, $B$5&gt;0),IF(-LN(INDEX(consMat,$S63,U$62))*LN(INDEX(consMat,$S63,1)*INDEX(consMat,1,U$62))&gt;0,1,0),0) +IF(AND($S63&lt;&gt;2,U$62&lt;&gt;2,$B$5&gt;1),IF(-LN(INDEX(consMat,$S63,U$62))*LN(INDEX(consMat,$S63,2)*INDEX(consMat,2,U$62))&gt;0,1,0),0) +IF(AND($S63&lt;&gt;3,U$62&lt;&gt;3,$B$5&gt;2),IF(-LN(INDEX(consMat,$S63,U$62))*LN(INDEX(consMat,$S63,3)*INDEX(consMat,3,U$62))&gt;0,1,0),0) +IF(AND($S63&lt;&gt;4,U$62&lt;&gt;4,$B$5&gt;3),IF(-LN(INDEX(consMat,$S63,U$62))*LN(INDEX(consMat,$S63,4)*INDEX(consMat,4,U$62))&gt;0,1,0),0) +IF(AND($S63&lt;&gt;5,U$62&lt;&gt;5,$B$5&gt;4),IF(-LN(INDEX(consMat,$S63,U$62))*LN(INDEX(consMat,$S63,5)*INDEX(consMat,5,U$62))&gt;0,1,0),0) +IF(AND($S63&lt;&gt;6,U$62&lt;&gt;6,$B$5&gt;5),IF(-LN(INDEX(consMat,$S63,U$62))*LN(INDEX(consMat,$S63,6)*INDEX(consMat,6,U$62))&gt;0,1,0),0) +IF(AND($S63&lt;&gt;7,U$62&lt;&gt;7,$B$5&gt;6),IF(-LN(INDEX(consMat,$S63,U$62))*LN(INDEX(consMat,$S63,7)*INDEX(consMat,7,U$62))&gt;0,1,0),0) +IF(AND($S63&lt;&gt;8,U$62&lt;&gt;8,$B$5&gt;7),IF(-LN(INDEX(consMat,$S63,U$62))*LN(INDEX(consMat,$S63,8)*INDEX(consMat,8,U$62))&gt;0,1,0),0) +IF(AND($S63&lt;&gt;9,U$62&lt;&gt;9,$B$5&gt;8),IF(-LN(INDEX(consMat,$S63,U$62))*LN(INDEX(consMat,$S63,9)*INDEX(consMat,9,U$62))&gt;0,1,0),0) +IF(AND($S63&lt;&gt;10,U$62&lt;&gt;10,$B$5&gt;9),IF(-LN(INDEX(consMat,$S63,U$62))*LN(INDEX(consMat,$S63,10)*INDEX(consMat,10,U$62))&gt;0,1,0))) )</f>
        <v>#DIV/0!</v>
      </c>
      <c r="V63" s="143" t="n">
        <f aca="false">IF(OR($S63&gt;$B$5,V$62&gt;$B$5),0, 1/($B$5-2)*(   IF(AND($S63&lt;&gt;1,V$62&lt;&gt;1, $B$5&gt;0),IF(-LN(INDEX(consMat,$S63,V$62))*LN(INDEX(consMat,$S63,1)*INDEX(consMat,1,V$62))&gt;0,1,0),0) +IF(AND($S63&lt;&gt;2,V$62&lt;&gt;2,$B$5&gt;1),IF(-LN(INDEX(consMat,$S63,V$62))*LN(INDEX(consMat,$S63,2)*INDEX(consMat,2,V$62))&gt;0,1,0),0) +IF(AND($S63&lt;&gt;3,V$62&lt;&gt;3,$B$5&gt;2),IF(-LN(INDEX(consMat,$S63,V$62))*LN(INDEX(consMat,$S63,3)*INDEX(consMat,3,V$62))&gt;0,1,0),0) +IF(AND($S63&lt;&gt;4,V$62&lt;&gt;4,$B$5&gt;3),IF(-LN(INDEX(consMat,$S63,V$62))*LN(INDEX(consMat,$S63,4)*INDEX(consMat,4,V$62))&gt;0,1,0),0) +IF(AND($S63&lt;&gt;5,V$62&lt;&gt;5,$B$5&gt;4),IF(-LN(INDEX(consMat,$S63,V$62))*LN(INDEX(consMat,$S63,5)*INDEX(consMat,5,V$62))&gt;0,1,0),0) +IF(AND($S63&lt;&gt;6,V$62&lt;&gt;6,$B$5&gt;5),IF(-LN(INDEX(consMat,$S63,V$62))*LN(INDEX(consMat,$S63,6)*INDEX(consMat,6,V$62))&gt;0,1,0),0) +IF(AND($S63&lt;&gt;7,V$62&lt;&gt;7,$B$5&gt;6),IF(-LN(INDEX(consMat,$S63,V$62))*LN(INDEX(consMat,$S63,7)*INDEX(consMat,7,V$62))&gt;0,1,0),0) +IF(AND($S63&lt;&gt;8,V$62&lt;&gt;8,$B$5&gt;7),IF(-LN(INDEX(consMat,$S63,V$62))*LN(INDEX(consMat,$S63,8)*INDEX(consMat,8,V$62))&gt;0,1,0),0) +IF(AND($S63&lt;&gt;9,V$62&lt;&gt;9,$B$5&gt;8),IF(-LN(INDEX(consMat,$S63,V$62))*LN(INDEX(consMat,$S63,9)*INDEX(consMat,9,V$62))&gt;0,1,0),0) +IF(AND($S63&lt;&gt;10,V$62&lt;&gt;10,$B$5&gt;9),IF(-LN(INDEX(consMat,$S63,V$62))*LN(INDEX(consMat,$S63,10)*INDEX(consMat,10,V$62))&gt;0,1,0))) )</f>
        <v>0</v>
      </c>
      <c r="W63" s="143" t="n">
        <f aca="false">IF(OR($S63&gt;$B$5,W$62&gt;$B$5),0, 1/($B$5-2)*(   IF(AND($S63&lt;&gt;1,W$62&lt;&gt;1, $B$5&gt;0),IF(-LN(INDEX(consMat,$S63,W$62))*LN(INDEX(consMat,$S63,1)*INDEX(consMat,1,W$62))&gt;0,1,0),0) +IF(AND($S63&lt;&gt;2,W$62&lt;&gt;2,$B$5&gt;1),IF(-LN(INDEX(consMat,$S63,W$62))*LN(INDEX(consMat,$S63,2)*INDEX(consMat,2,W$62))&gt;0,1,0),0) +IF(AND($S63&lt;&gt;3,W$62&lt;&gt;3,$B$5&gt;2),IF(-LN(INDEX(consMat,$S63,W$62))*LN(INDEX(consMat,$S63,3)*INDEX(consMat,3,W$62))&gt;0,1,0),0) +IF(AND($S63&lt;&gt;4,W$62&lt;&gt;4,$B$5&gt;3),IF(-LN(INDEX(consMat,$S63,W$62))*LN(INDEX(consMat,$S63,4)*INDEX(consMat,4,W$62))&gt;0,1,0),0) +IF(AND($S63&lt;&gt;5,W$62&lt;&gt;5,$B$5&gt;4),IF(-LN(INDEX(consMat,$S63,W$62))*LN(INDEX(consMat,$S63,5)*INDEX(consMat,5,W$62))&gt;0,1,0),0) +IF(AND($S63&lt;&gt;6,W$62&lt;&gt;6,$B$5&gt;5),IF(-LN(INDEX(consMat,$S63,W$62))*LN(INDEX(consMat,$S63,6)*INDEX(consMat,6,W$62))&gt;0,1,0),0) +IF(AND($S63&lt;&gt;7,W$62&lt;&gt;7,$B$5&gt;6),IF(-LN(INDEX(consMat,$S63,W$62))*LN(INDEX(consMat,$S63,7)*INDEX(consMat,7,W$62))&gt;0,1,0),0) +IF(AND($S63&lt;&gt;8,W$62&lt;&gt;8,$B$5&gt;7),IF(-LN(INDEX(consMat,$S63,W$62))*LN(INDEX(consMat,$S63,8)*INDEX(consMat,8,W$62))&gt;0,1,0),0) +IF(AND($S63&lt;&gt;9,W$62&lt;&gt;9,$B$5&gt;8),IF(-LN(INDEX(consMat,$S63,W$62))*LN(INDEX(consMat,$S63,9)*INDEX(consMat,9,W$62))&gt;0,1,0),0) +IF(AND($S63&lt;&gt;10,W$62&lt;&gt;10,$B$5&gt;9),IF(-LN(INDEX(consMat,$S63,W$62))*LN(INDEX(consMat,$S63,10)*INDEX(consMat,10,W$62))&gt;0,1,0))) )</f>
        <v>0</v>
      </c>
      <c r="X63" s="143" t="n">
        <f aca="false">IF(OR($S63&gt;$B$5,X$62&gt;$B$5),0, 1/($B$5-2)*(   IF(AND($S63&lt;&gt;1,X$62&lt;&gt;1, $B$5&gt;0),IF(-LN(INDEX(consMat,$S63,X$62))*LN(INDEX(consMat,$S63,1)*INDEX(consMat,1,X$62))&gt;0,1,0),0) +IF(AND($S63&lt;&gt;2,X$62&lt;&gt;2,$B$5&gt;1),IF(-LN(INDEX(consMat,$S63,X$62))*LN(INDEX(consMat,$S63,2)*INDEX(consMat,2,X$62))&gt;0,1,0),0) +IF(AND($S63&lt;&gt;3,X$62&lt;&gt;3,$B$5&gt;2),IF(-LN(INDEX(consMat,$S63,X$62))*LN(INDEX(consMat,$S63,3)*INDEX(consMat,3,X$62))&gt;0,1,0),0) +IF(AND($S63&lt;&gt;4,X$62&lt;&gt;4,$B$5&gt;3),IF(-LN(INDEX(consMat,$S63,X$62))*LN(INDEX(consMat,$S63,4)*INDEX(consMat,4,X$62))&gt;0,1,0),0) +IF(AND($S63&lt;&gt;5,X$62&lt;&gt;5,$B$5&gt;4),IF(-LN(INDEX(consMat,$S63,X$62))*LN(INDEX(consMat,$S63,5)*INDEX(consMat,5,X$62))&gt;0,1,0),0) +IF(AND($S63&lt;&gt;6,X$62&lt;&gt;6,$B$5&gt;5),IF(-LN(INDEX(consMat,$S63,X$62))*LN(INDEX(consMat,$S63,6)*INDEX(consMat,6,X$62))&gt;0,1,0),0) +IF(AND($S63&lt;&gt;7,X$62&lt;&gt;7,$B$5&gt;6),IF(-LN(INDEX(consMat,$S63,X$62))*LN(INDEX(consMat,$S63,7)*INDEX(consMat,7,X$62))&gt;0,1,0),0) +IF(AND($S63&lt;&gt;8,X$62&lt;&gt;8,$B$5&gt;7),IF(-LN(INDEX(consMat,$S63,X$62))*LN(INDEX(consMat,$S63,8)*INDEX(consMat,8,X$62))&gt;0,1,0),0) +IF(AND($S63&lt;&gt;9,X$62&lt;&gt;9,$B$5&gt;8),IF(-LN(INDEX(consMat,$S63,X$62))*LN(INDEX(consMat,$S63,9)*INDEX(consMat,9,X$62))&gt;0,1,0),0) +IF(AND($S63&lt;&gt;10,X$62&lt;&gt;10,$B$5&gt;9),IF(-LN(INDEX(consMat,$S63,X$62))*LN(INDEX(consMat,$S63,10)*INDEX(consMat,10,X$62))&gt;0,1,0))) )</f>
        <v>0</v>
      </c>
      <c r="Y63" s="143" t="n">
        <f aca="false">IF(OR($S63&gt;$B$5,Y$62&gt;$B$5),0, 1/($B$5-2)*(   IF(AND($S63&lt;&gt;1,Y$62&lt;&gt;1, $B$5&gt;0),IF(-LN(INDEX(consMat,$S63,Y$62))*LN(INDEX(consMat,$S63,1)*INDEX(consMat,1,Y$62))&gt;0,1,0),0) +IF(AND($S63&lt;&gt;2,Y$62&lt;&gt;2,$B$5&gt;1),IF(-LN(INDEX(consMat,$S63,Y$62))*LN(INDEX(consMat,$S63,2)*INDEX(consMat,2,Y$62))&gt;0,1,0),0) +IF(AND($S63&lt;&gt;3,Y$62&lt;&gt;3,$B$5&gt;2),IF(-LN(INDEX(consMat,$S63,Y$62))*LN(INDEX(consMat,$S63,3)*INDEX(consMat,3,Y$62))&gt;0,1,0),0) +IF(AND($S63&lt;&gt;4,Y$62&lt;&gt;4,$B$5&gt;3),IF(-LN(INDEX(consMat,$S63,Y$62))*LN(INDEX(consMat,$S63,4)*INDEX(consMat,4,Y$62))&gt;0,1,0),0) +IF(AND($S63&lt;&gt;5,Y$62&lt;&gt;5,$B$5&gt;4),IF(-LN(INDEX(consMat,$S63,Y$62))*LN(INDEX(consMat,$S63,5)*INDEX(consMat,5,Y$62))&gt;0,1,0),0) +IF(AND($S63&lt;&gt;6,Y$62&lt;&gt;6,$B$5&gt;5),IF(-LN(INDEX(consMat,$S63,Y$62))*LN(INDEX(consMat,$S63,6)*INDEX(consMat,6,Y$62))&gt;0,1,0),0) +IF(AND($S63&lt;&gt;7,Y$62&lt;&gt;7,$B$5&gt;6),IF(-LN(INDEX(consMat,$S63,Y$62))*LN(INDEX(consMat,$S63,7)*INDEX(consMat,7,Y$62))&gt;0,1,0),0) +IF(AND($S63&lt;&gt;8,Y$62&lt;&gt;8,$B$5&gt;7),IF(-LN(INDEX(consMat,$S63,Y$62))*LN(INDEX(consMat,$S63,8)*INDEX(consMat,8,Y$62))&gt;0,1,0),0) +IF(AND($S63&lt;&gt;9,Y$62&lt;&gt;9,$B$5&gt;8),IF(-LN(INDEX(consMat,$S63,Y$62))*LN(INDEX(consMat,$S63,9)*INDEX(consMat,9,Y$62))&gt;0,1,0),0) +IF(AND($S63&lt;&gt;10,Y$62&lt;&gt;10,$B$5&gt;9),IF(-LN(INDEX(consMat,$S63,Y$62))*LN(INDEX(consMat,$S63,10)*INDEX(consMat,10,Y$62))&gt;0,1,0))) )</f>
        <v>0</v>
      </c>
      <c r="Z63" s="143" t="n">
        <f aca="false">IF(OR($S63&gt;$B$5,Z$62&gt;$B$5),0, 1/($B$5-2)*(   IF(AND($S63&lt;&gt;1,Z$62&lt;&gt;1, $B$5&gt;0),IF(-LN(INDEX(consMat,$S63,Z$62))*LN(INDEX(consMat,$S63,1)*INDEX(consMat,1,Z$62))&gt;0,1,0),0) +IF(AND($S63&lt;&gt;2,Z$62&lt;&gt;2,$B$5&gt;1),IF(-LN(INDEX(consMat,$S63,Z$62))*LN(INDEX(consMat,$S63,2)*INDEX(consMat,2,Z$62))&gt;0,1,0),0) +IF(AND($S63&lt;&gt;3,Z$62&lt;&gt;3,$B$5&gt;2),IF(-LN(INDEX(consMat,$S63,Z$62))*LN(INDEX(consMat,$S63,3)*INDEX(consMat,3,Z$62))&gt;0,1,0),0) +IF(AND($S63&lt;&gt;4,Z$62&lt;&gt;4,$B$5&gt;3),IF(-LN(INDEX(consMat,$S63,Z$62))*LN(INDEX(consMat,$S63,4)*INDEX(consMat,4,Z$62))&gt;0,1,0),0) +IF(AND($S63&lt;&gt;5,Z$62&lt;&gt;5,$B$5&gt;4),IF(-LN(INDEX(consMat,$S63,Z$62))*LN(INDEX(consMat,$S63,5)*INDEX(consMat,5,Z$62))&gt;0,1,0),0) +IF(AND($S63&lt;&gt;6,Z$62&lt;&gt;6,$B$5&gt;5),IF(-LN(INDEX(consMat,$S63,Z$62))*LN(INDEX(consMat,$S63,6)*INDEX(consMat,6,Z$62))&gt;0,1,0),0) +IF(AND($S63&lt;&gt;7,Z$62&lt;&gt;7,$B$5&gt;6),IF(-LN(INDEX(consMat,$S63,Z$62))*LN(INDEX(consMat,$S63,7)*INDEX(consMat,7,Z$62))&gt;0,1,0),0) +IF(AND($S63&lt;&gt;8,Z$62&lt;&gt;8,$B$5&gt;7),IF(-LN(INDEX(consMat,$S63,Z$62))*LN(INDEX(consMat,$S63,8)*INDEX(consMat,8,Z$62))&gt;0,1,0),0) +IF(AND($S63&lt;&gt;9,Z$62&lt;&gt;9,$B$5&gt;8),IF(-LN(INDEX(consMat,$S63,Z$62))*LN(INDEX(consMat,$S63,9)*INDEX(consMat,9,Z$62))&gt;0,1,0),0) +IF(AND($S63&lt;&gt;10,Z$62&lt;&gt;10,$B$5&gt;9),IF(-LN(INDEX(consMat,$S63,Z$62))*LN(INDEX(consMat,$S63,10)*INDEX(consMat,10,Z$62))&gt;0,1,0))) )</f>
        <v>0</v>
      </c>
      <c r="AA63" s="143" t="n">
        <f aca="false">IF(OR($S63&gt;$B$5,AA$62&gt;$B$5),0, 1/($B$5-2)*(   IF(AND($S63&lt;&gt;1,AA$62&lt;&gt;1, $B$5&gt;0),IF(-LN(INDEX(consMat,$S63,AA$62))*LN(INDEX(consMat,$S63,1)*INDEX(consMat,1,AA$62))&gt;0,1,0),0) +IF(AND($S63&lt;&gt;2,AA$62&lt;&gt;2,$B$5&gt;1),IF(-LN(INDEX(consMat,$S63,AA$62))*LN(INDEX(consMat,$S63,2)*INDEX(consMat,2,AA$62))&gt;0,1,0),0) +IF(AND($S63&lt;&gt;3,AA$62&lt;&gt;3,$B$5&gt;2),IF(-LN(INDEX(consMat,$S63,AA$62))*LN(INDEX(consMat,$S63,3)*INDEX(consMat,3,AA$62))&gt;0,1,0),0) +IF(AND($S63&lt;&gt;4,AA$62&lt;&gt;4,$B$5&gt;3),IF(-LN(INDEX(consMat,$S63,AA$62))*LN(INDEX(consMat,$S63,4)*INDEX(consMat,4,AA$62))&gt;0,1,0),0) +IF(AND($S63&lt;&gt;5,AA$62&lt;&gt;5,$B$5&gt;4),IF(-LN(INDEX(consMat,$S63,AA$62))*LN(INDEX(consMat,$S63,5)*INDEX(consMat,5,AA$62))&gt;0,1,0),0) +IF(AND($S63&lt;&gt;6,AA$62&lt;&gt;6,$B$5&gt;5),IF(-LN(INDEX(consMat,$S63,AA$62))*LN(INDEX(consMat,$S63,6)*INDEX(consMat,6,AA$62))&gt;0,1,0),0) +IF(AND($S63&lt;&gt;7,AA$62&lt;&gt;7,$B$5&gt;6),IF(-LN(INDEX(consMat,$S63,AA$62))*LN(INDEX(consMat,$S63,7)*INDEX(consMat,7,AA$62))&gt;0,1,0),0) +IF(AND($S63&lt;&gt;8,AA$62&lt;&gt;8,$B$5&gt;7),IF(-LN(INDEX(consMat,$S63,AA$62))*LN(INDEX(consMat,$S63,8)*INDEX(consMat,8,AA$62))&gt;0,1,0),0) +IF(AND($S63&lt;&gt;9,AA$62&lt;&gt;9,$B$5&gt;8),IF(-LN(INDEX(consMat,$S63,AA$62))*LN(INDEX(consMat,$S63,9)*INDEX(consMat,9,AA$62))&gt;0,1,0),0) +IF(AND($S63&lt;&gt;10,AA$62&lt;&gt;10,$B$5&gt;9),IF(-LN(INDEX(consMat,$S63,AA$62))*LN(INDEX(consMat,$S63,10)*INDEX(consMat,10,AA$62))&gt;0,1,0))) )</f>
        <v>0</v>
      </c>
      <c r="AB63" s="143" t="n">
        <f aca="false">IF(OR($S63&gt;$B$5,AB$62&gt;$B$5),0, 1/($B$5-2)*(   IF(AND($S63&lt;&gt;1,AB$62&lt;&gt;1, $B$5&gt;0),IF(-LN(INDEX(consMat,$S63,AB$62))*LN(INDEX(consMat,$S63,1)*INDEX(consMat,1,AB$62))&gt;0,1,0),0) +IF(AND($S63&lt;&gt;2,AB$62&lt;&gt;2,$B$5&gt;1),IF(-LN(INDEX(consMat,$S63,AB$62))*LN(INDEX(consMat,$S63,2)*INDEX(consMat,2,AB$62))&gt;0,1,0),0) +IF(AND($S63&lt;&gt;3,AB$62&lt;&gt;3,$B$5&gt;2),IF(-LN(INDEX(consMat,$S63,AB$62))*LN(INDEX(consMat,$S63,3)*INDEX(consMat,3,AB$62))&gt;0,1,0),0) +IF(AND($S63&lt;&gt;4,AB$62&lt;&gt;4,$B$5&gt;3),IF(-LN(INDEX(consMat,$S63,AB$62))*LN(INDEX(consMat,$S63,4)*INDEX(consMat,4,AB$62))&gt;0,1,0),0) +IF(AND($S63&lt;&gt;5,AB$62&lt;&gt;5,$B$5&gt;4),IF(-LN(INDEX(consMat,$S63,AB$62))*LN(INDEX(consMat,$S63,5)*INDEX(consMat,5,AB$62))&gt;0,1,0),0) +IF(AND($S63&lt;&gt;6,AB$62&lt;&gt;6,$B$5&gt;5),IF(-LN(INDEX(consMat,$S63,AB$62))*LN(INDEX(consMat,$S63,6)*INDEX(consMat,6,AB$62))&gt;0,1,0),0) +IF(AND($S63&lt;&gt;7,AB$62&lt;&gt;7,$B$5&gt;6),IF(-LN(INDEX(consMat,$S63,AB$62))*LN(INDEX(consMat,$S63,7)*INDEX(consMat,7,AB$62))&gt;0,1,0),0) +IF(AND($S63&lt;&gt;8,AB$62&lt;&gt;8,$B$5&gt;7),IF(-LN(INDEX(consMat,$S63,AB$62))*LN(INDEX(consMat,$S63,8)*INDEX(consMat,8,AB$62))&gt;0,1,0),0) +IF(AND($S63&lt;&gt;9,AB$62&lt;&gt;9,$B$5&gt;8),IF(-LN(INDEX(consMat,$S63,AB$62))*LN(INDEX(consMat,$S63,9)*INDEX(consMat,9,AB$62))&gt;0,1,0),0) +IF(AND($S63&lt;&gt;10,AB$62&lt;&gt;10,$B$5&gt;9),IF(-LN(INDEX(consMat,$S63,AB$62))*LN(INDEX(consMat,$S63,10)*INDEX(consMat,10,AB$62))&gt;0,1,0))) )</f>
        <v>0</v>
      </c>
      <c r="AC63" s="143" t="n">
        <f aca="false">IF(OR($S63&gt;$B$5,AC$62&gt;$B$5),0, 1/($B$5-2)*(   IF(AND($S63&lt;&gt;1,AC$62&lt;&gt;1, $B$5&gt;0),IF(-LN(INDEX(consMat,$S63,AC$62))*LN(INDEX(consMat,$S63,1)*INDEX(consMat,1,AC$62))&gt;0,1,0),0) +IF(AND($S63&lt;&gt;2,AC$62&lt;&gt;2,$B$5&gt;1),IF(-LN(INDEX(consMat,$S63,AC$62))*LN(INDEX(consMat,$S63,2)*INDEX(consMat,2,AC$62))&gt;0,1,0),0) +IF(AND($S63&lt;&gt;3,AC$62&lt;&gt;3,$B$5&gt;2),IF(-LN(INDEX(consMat,$S63,AC$62))*LN(INDEX(consMat,$S63,3)*INDEX(consMat,3,AC$62))&gt;0,1,0),0) +IF(AND($S63&lt;&gt;4,AC$62&lt;&gt;4,$B$5&gt;3),IF(-LN(INDEX(consMat,$S63,AC$62))*LN(INDEX(consMat,$S63,4)*INDEX(consMat,4,AC$62))&gt;0,1,0),0) +IF(AND($S63&lt;&gt;5,AC$62&lt;&gt;5,$B$5&gt;4),IF(-LN(INDEX(consMat,$S63,AC$62))*LN(INDEX(consMat,$S63,5)*INDEX(consMat,5,AC$62))&gt;0,1,0),0) +IF(AND($S63&lt;&gt;6,AC$62&lt;&gt;6,$B$5&gt;5),IF(-LN(INDEX(consMat,$S63,AC$62))*LN(INDEX(consMat,$S63,6)*INDEX(consMat,6,AC$62))&gt;0,1,0),0) +IF(AND($S63&lt;&gt;7,AC$62&lt;&gt;7,$B$5&gt;6),IF(-LN(INDEX(consMat,$S63,AC$62))*LN(INDEX(consMat,$S63,7)*INDEX(consMat,7,AC$62))&gt;0,1,0),0) +IF(AND($S63&lt;&gt;8,AC$62&lt;&gt;8,$B$5&gt;7),IF(-LN(INDEX(consMat,$S63,AC$62))*LN(INDEX(consMat,$S63,8)*INDEX(consMat,8,AC$62))&gt;0,1,0),0) +IF(AND($S63&lt;&gt;9,AC$62&lt;&gt;9,$B$5&gt;8),IF(-LN(INDEX(consMat,$S63,AC$62))*LN(INDEX(consMat,$S63,9)*INDEX(consMat,9,AC$62))&gt;0,1,0),0) +IF(AND($S63&lt;&gt;10,AC$62&lt;&gt;10,$B$5&gt;9),IF(-LN(INDEX(consMat,$S63,AC$62))*LN(INDEX(consMat,$S63,10)*INDEX(consMat,10,AC$62))&gt;0,1,0))) )</f>
        <v>0</v>
      </c>
      <c r="AD63" s="171"/>
      <c r="AE63" s="172"/>
      <c r="AL63" s="122"/>
    </row>
    <row r="64" customFormat="false" ht="12.75" hidden="true" customHeight="false" outlineLevel="1" collapsed="false">
      <c r="A64" s="173" t="s">
        <v>98</v>
      </c>
      <c r="B64" s="174" t="n">
        <v>1</v>
      </c>
      <c r="C64" s="175" t="n">
        <f aca="false" t="array" ref="C64:L64">IF(B64&lt;=$B$7,TRANSPOSE(RGGM1),)</f>
        <v>0.5</v>
      </c>
      <c r="D64" s="175" t="n">
        <v>0.5</v>
      </c>
      <c r="E64" s="175" t="n">
        <v>0</v>
      </c>
      <c r="F64" s="175" t="n">
        <v>0</v>
      </c>
      <c r="G64" s="175" t="n">
        <v>0</v>
      </c>
      <c r="H64" s="175" t="n">
        <v>0</v>
      </c>
      <c r="I64" s="175" t="n">
        <v>0</v>
      </c>
      <c r="J64" s="175" t="n">
        <v>0</v>
      </c>
      <c r="K64" s="175" t="n">
        <v>0</v>
      </c>
      <c r="L64" s="175" t="n">
        <v>0</v>
      </c>
      <c r="M64" s="174"/>
      <c r="N64" s="108"/>
      <c r="O64" s="168"/>
      <c r="P64" s="108"/>
      <c r="S64" s="170" t="n">
        <v>2</v>
      </c>
      <c r="T64" s="148"/>
      <c r="U64" s="142"/>
      <c r="V64" s="143" t="n">
        <f aca="false">IF(OR($S64&gt;$B$5,V$62&gt;$B$5),0, 1/($B$5-2)*(   IF(AND($S64&lt;&gt;1,V$62&lt;&gt;1, $B$5&gt;0),IF(-LN(INDEX(consMat,$S64,V$62))*LN(INDEX(consMat,$S64,1)*INDEX(consMat,1,V$62))&gt;0,1,0),0) +IF(AND($S64&lt;&gt;2,V$62&lt;&gt;2,$B$5&gt;1),IF(-LN(INDEX(consMat,$S64,V$62))*LN(INDEX(consMat,$S64,2)*INDEX(consMat,2,V$62))&gt;0,1,0),0) +IF(AND($S64&lt;&gt;3,V$62&lt;&gt;3,$B$5&gt;2),IF(-LN(INDEX(consMat,$S64,V$62))*LN(INDEX(consMat,$S64,3)*INDEX(consMat,3,V$62))&gt;0,1,0),0) +IF(AND($S64&lt;&gt;4,V$62&lt;&gt;4,$B$5&gt;3),IF(-LN(INDEX(consMat,$S64,V$62))*LN(INDEX(consMat,$S64,4)*INDEX(consMat,4,V$62))&gt;0,1,0),0) +IF(AND($S64&lt;&gt;5,V$62&lt;&gt;5,$B$5&gt;4),IF(-LN(INDEX(consMat,$S64,V$62))*LN(INDEX(consMat,$S64,5)*INDEX(consMat,5,V$62))&gt;0,1,0),0) +IF(AND($S64&lt;&gt;6,V$62&lt;&gt;6,$B$5&gt;5),IF(-LN(INDEX(consMat,$S64,V$62))*LN(INDEX(consMat,$S64,6)*INDEX(consMat,6,V$62))&gt;0,1,0),0) +IF(AND($S64&lt;&gt;7,V$62&lt;&gt;7,$B$5&gt;6),IF(-LN(INDEX(consMat,$S64,V$62))*LN(INDEX(consMat,$S64,7)*INDEX(consMat,7,V$62))&gt;0,1,0),0) +IF(AND($S64&lt;&gt;8,V$62&lt;&gt;8,$B$5&gt;7),IF(-LN(INDEX(consMat,$S64,V$62))*LN(INDEX(consMat,$S64,8)*INDEX(consMat,8,V$62))&gt;0,1,0),0) +IF(AND($S64&lt;&gt;9,V$62&lt;&gt;9,$B$5&gt;8),IF(-LN(INDEX(consMat,$S64,V$62))*LN(INDEX(consMat,$S64,9)*INDEX(consMat,9,V$62))&gt;0,1,0),0) +IF(AND($S64&lt;&gt;10,V$62&lt;&gt;10,$B$5&gt;9),IF(-LN(INDEX(consMat,$S64,V$62))*LN(INDEX(consMat,$S64,10)*INDEX(consMat,10,V$62))&gt;0,1,0))) )</f>
        <v>0</v>
      </c>
      <c r="W64" s="143" t="n">
        <f aca="false">IF(OR($S64&gt;$B$5,W$62&gt;$B$5),0, 1/($B$5-2)*(   IF(AND($S64&lt;&gt;1,W$62&lt;&gt;1, $B$5&gt;0),IF(-LN(INDEX(consMat,$S64,W$62))*LN(INDEX(consMat,$S64,1)*INDEX(consMat,1,W$62))&gt;0,1,0),0) +IF(AND($S64&lt;&gt;2,W$62&lt;&gt;2,$B$5&gt;1),IF(-LN(INDEX(consMat,$S64,W$62))*LN(INDEX(consMat,$S64,2)*INDEX(consMat,2,W$62))&gt;0,1,0),0) +IF(AND($S64&lt;&gt;3,W$62&lt;&gt;3,$B$5&gt;2),IF(-LN(INDEX(consMat,$S64,W$62))*LN(INDEX(consMat,$S64,3)*INDEX(consMat,3,W$62))&gt;0,1,0),0) +IF(AND($S64&lt;&gt;4,W$62&lt;&gt;4,$B$5&gt;3),IF(-LN(INDEX(consMat,$S64,W$62))*LN(INDEX(consMat,$S64,4)*INDEX(consMat,4,W$62))&gt;0,1,0),0) +IF(AND($S64&lt;&gt;5,W$62&lt;&gt;5,$B$5&gt;4),IF(-LN(INDEX(consMat,$S64,W$62))*LN(INDEX(consMat,$S64,5)*INDEX(consMat,5,W$62))&gt;0,1,0),0) +IF(AND($S64&lt;&gt;6,W$62&lt;&gt;6,$B$5&gt;5),IF(-LN(INDEX(consMat,$S64,W$62))*LN(INDEX(consMat,$S64,6)*INDEX(consMat,6,W$62))&gt;0,1,0),0) +IF(AND($S64&lt;&gt;7,W$62&lt;&gt;7,$B$5&gt;6),IF(-LN(INDEX(consMat,$S64,W$62))*LN(INDEX(consMat,$S64,7)*INDEX(consMat,7,W$62))&gt;0,1,0),0) +IF(AND($S64&lt;&gt;8,W$62&lt;&gt;8,$B$5&gt;7),IF(-LN(INDEX(consMat,$S64,W$62))*LN(INDEX(consMat,$S64,8)*INDEX(consMat,8,W$62))&gt;0,1,0),0) +IF(AND($S64&lt;&gt;9,W$62&lt;&gt;9,$B$5&gt;8),IF(-LN(INDEX(consMat,$S64,W$62))*LN(INDEX(consMat,$S64,9)*INDEX(consMat,9,W$62))&gt;0,1,0),0) +IF(AND($S64&lt;&gt;10,W$62&lt;&gt;10,$B$5&gt;9),IF(-LN(INDEX(consMat,$S64,W$62))*LN(INDEX(consMat,$S64,10)*INDEX(consMat,10,W$62))&gt;0,1,0))) )</f>
        <v>0</v>
      </c>
      <c r="X64" s="143" t="n">
        <f aca="false">IF(OR($S64&gt;$B$5,X$62&gt;$B$5),0, 1/($B$5-2)*(   IF(AND($S64&lt;&gt;1,X$62&lt;&gt;1, $B$5&gt;0),IF(-LN(INDEX(consMat,$S64,X$62))*LN(INDEX(consMat,$S64,1)*INDEX(consMat,1,X$62))&gt;0,1,0),0) +IF(AND($S64&lt;&gt;2,X$62&lt;&gt;2,$B$5&gt;1),IF(-LN(INDEX(consMat,$S64,X$62))*LN(INDEX(consMat,$S64,2)*INDEX(consMat,2,X$62))&gt;0,1,0),0) +IF(AND($S64&lt;&gt;3,X$62&lt;&gt;3,$B$5&gt;2),IF(-LN(INDEX(consMat,$S64,X$62))*LN(INDEX(consMat,$S64,3)*INDEX(consMat,3,X$62))&gt;0,1,0),0) +IF(AND($S64&lt;&gt;4,X$62&lt;&gt;4,$B$5&gt;3),IF(-LN(INDEX(consMat,$S64,X$62))*LN(INDEX(consMat,$S64,4)*INDEX(consMat,4,X$62))&gt;0,1,0),0) +IF(AND($S64&lt;&gt;5,X$62&lt;&gt;5,$B$5&gt;4),IF(-LN(INDEX(consMat,$S64,X$62))*LN(INDEX(consMat,$S64,5)*INDEX(consMat,5,X$62))&gt;0,1,0),0) +IF(AND($S64&lt;&gt;6,X$62&lt;&gt;6,$B$5&gt;5),IF(-LN(INDEX(consMat,$S64,X$62))*LN(INDEX(consMat,$S64,6)*INDEX(consMat,6,X$62))&gt;0,1,0),0) +IF(AND($S64&lt;&gt;7,X$62&lt;&gt;7,$B$5&gt;6),IF(-LN(INDEX(consMat,$S64,X$62))*LN(INDEX(consMat,$S64,7)*INDEX(consMat,7,X$62))&gt;0,1,0),0) +IF(AND($S64&lt;&gt;8,X$62&lt;&gt;8,$B$5&gt;7),IF(-LN(INDEX(consMat,$S64,X$62))*LN(INDEX(consMat,$S64,8)*INDEX(consMat,8,X$62))&gt;0,1,0),0) +IF(AND($S64&lt;&gt;9,X$62&lt;&gt;9,$B$5&gt;8),IF(-LN(INDEX(consMat,$S64,X$62))*LN(INDEX(consMat,$S64,9)*INDEX(consMat,9,X$62))&gt;0,1,0),0) +IF(AND($S64&lt;&gt;10,X$62&lt;&gt;10,$B$5&gt;9),IF(-LN(INDEX(consMat,$S64,X$62))*LN(INDEX(consMat,$S64,10)*INDEX(consMat,10,X$62))&gt;0,1,0))) )</f>
        <v>0</v>
      </c>
      <c r="Y64" s="143" t="n">
        <f aca="false">IF(OR($S64&gt;$B$5,Y$62&gt;$B$5),0, 1/($B$5-2)*(   IF(AND($S64&lt;&gt;1,Y$62&lt;&gt;1, $B$5&gt;0),IF(-LN(INDEX(consMat,$S64,Y$62))*LN(INDEX(consMat,$S64,1)*INDEX(consMat,1,Y$62))&gt;0,1,0),0) +IF(AND($S64&lt;&gt;2,Y$62&lt;&gt;2,$B$5&gt;1),IF(-LN(INDEX(consMat,$S64,Y$62))*LN(INDEX(consMat,$S64,2)*INDEX(consMat,2,Y$62))&gt;0,1,0),0) +IF(AND($S64&lt;&gt;3,Y$62&lt;&gt;3,$B$5&gt;2),IF(-LN(INDEX(consMat,$S64,Y$62))*LN(INDEX(consMat,$S64,3)*INDEX(consMat,3,Y$62))&gt;0,1,0),0) +IF(AND($S64&lt;&gt;4,Y$62&lt;&gt;4,$B$5&gt;3),IF(-LN(INDEX(consMat,$S64,Y$62))*LN(INDEX(consMat,$S64,4)*INDEX(consMat,4,Y$62))&gt;0,1,0),0) +IF(AND($S64&lt;&gt;5,Y$62&lt;&gt;5,$B$5&gt;4),IF(-LN(INDEX(consMat,$S64,Y$62))*LN(INDEX(consMat,$S64,5)*INDEX(consMat,5,Y$62))&gt;0,1,0),0) +IF(AND($S64&lt;&gt;6,Y$62&lt;&gt;6,$B$5&gt;5),IF(-LN(INDEX(consMat,$S64,Y$62))*LN(INDEX(consMat,$S64,6)*INDEX(consMat,6,Y$62))&gt;0,1,0),0) +IF(AND($S64&lt;&gt;7,Y$62&lt;&gt;7,$B$5&gt;6),IF(-LN(INDEX(consMat,$S64,Y$62))*LN(INDEX(consMat,$S64,7)*INDEX(consMat,7,Y$62))&gt;0,1,0),0) +IF(AND($S64&lt;&gt;8,Y$62&lt;&gt;8,$B$5&gt;7),IF(-LN(INDEX(consMat,$S64,Y$62))*LN(INDEX(consMat,$S64,8)*INDEX(consMat,8,Y$62))&gt;0,1,0),0) +IF(AND($S64&lt;&gt;9,Y$62&lt;&gt;9,$B$5&gt;8),IF(-LN(INDEX(consMat,$S64,Y$62))*LN(INDEX(consMat,$S64,9)*INDEX(consMat,9,Y$62))&gt;0,1,0),0) +IF(AND($S64&lt;&gt;10,Y$62&lt;&gt;10,$B$5&gt;9),IF(-LN(INDEX(consMat,$S64,Y$62))*LN(INDEX(consMat,$S64,10)*INDEX(consMat,10,Y$62))&gt;0,1,0))) )</f>
        <v>0</v>
      </c>
      <c r="Z64" s="143" t="n">
        <f aca="false">IF(OR($S64&gt;$B$5,Z$62&gt;$B$5),0, 1/($B$5-2)*(   IF(AND($S64&lt;&gt;1,Z$62&lt;&gt;1, $B$5&gt;0),IF(-LN(INDEX(consMat,$S64,Z$62))*LN(INDEX(consMat,$S64,1)*INDEX(consMat,1,Z$62))&gt;0,1,0),0) +IF(AND($S64&lt;&gt;2,Z$62&lt;&gt;2,$B$5&gt;1),IF(-LN(INDEX(consMat,$S64,Z$62))*LN(INDEX(consMat,$S64,2)*INDEX(consMat,2,Z$62))&gt;0,1,0),0) +IF(AND($S64&lt;&gt;3,Z$62&lt;&gt;3,$B$5&gt;2),IF(-LN(INDEX(consMat,$S64,Z$62))*LN(INDEX(consMat,$S64,3)*INDEX(consMat,3,Z$62))&gt;0,1,0),0) +IF(AND($S64&lt;&gt;4,Z$62&lt;&gt;4,$B$5&gt;3),IF(-LN(INDEX(consMat,$S64,Z$62))*LN(INDEX(consMat,$S64,4)*INDEX(consMat,4,Z$62))&gt;0,1,0),0) +IF(AND($S64&lt;&gt;5,Z$62&lt;&gt;5,$B$5&gt;4),IF(-LN(INDEX(consMat,$S64,Z$62))*LN(INDEX(consMat,$S64,5)*INDEX(consMat,5,Z$62))&gt;0,1,0),0) +IF(AND($S64&lt;&gt;6,Z$62&lt;&gt;6,$B$5&gt;5),IF(-LN(INDEX(consMat,$S64,Z$62))*LN(INDEX(consMat,$S64,6)*INDEX(consMat,6,Z$62))&gt;0,1,0),0) +IF(AND($S64&lt;&gt;7,Z$62&lt;&gt;7,$B$5&gt;6),IF(-LN(INDEX(consMat,$S64,Z$62))*LN(INDEX(consMat,$S64,7)*INDEX(consMat,7,Z$62))&gt;0,1,0),0) +IF(AND($S64&lt;&gt;8,Z$62&lt;&gt;8,$B$5&gt;7),IF(-LN(INDEX(consMat,$S64,Z$62))*LN(INDEX(consMat,$S64,8)*INDEX(consMat,8,Z$62))&gt;0,1,0),0) +IF(AND($S64&lt;&gt;9,Z$62&lt;&gt;9,$B$5&gt;8),IF(-LN(INDEX(consMat,$S64,Z$62))*LN(INDEX(consMat,$S64,9)*INDEX(consMat,9,Z$62))&gt;0,1,0),0) +IF(AND($S64&lt;&gt;10,Z$62&lt;&gt;10,$B$5&gt;9),IF(-LN(INDEX(consMat,$S64,Z$62))*LN(INDEX(consMat,$S64,10)*INDEX(consMat,10,Z$62))&gt;0,1,0))) )</f>
        <v>0</v>
      </c>
      <c r="AA64" s="143" t="n">
        <f aca="false">IF(OR($S64&gt;$B$5,AA$62&gt;$B$5),0, 1/($B$5-2)*(   IF(AND($S64&lt;&gt;1,AA$62&lt;&gt;1, $B$5&gt;0),IF(-LN(INDEX(consMat,$S64,AA$62))*LN(INDEX(consMat,$S64,1)*INDEX(consMat,1,AA$62))&gt;0,1,0),0) +IF(AND($S64&lt;&gt;2,AA$62&lt;&gt;2,$B$5&gt;1),IF(-LN(INDEX(consMat,$S64,AA$62))*LN(INDEX(consMat,$S64,2)*INDEX(consMat,2,AA$62))&gt;0,1,0),0) +IF(AND($S64&lt;&gt;3,AA$62&lt;&gt;3,$B$5&gt;2),IF(-LN(INDEX(consMat,$S64,AA$62))*LN(INDEX(consMat,$S64,3)*INDEX(consMat,3,AA$62))&gt;0,1,0),0) +IF(AND($S64&lt;&gt;4,AA$62&lt;&gt;4,$B$5&gt;3),IF(-LN(INDEX(consMat,$S64,AA$62))*LN(INDEX(consMat,$S64,4)*INDEX(consMat,4,AA$62))&gt;0,1,0),0) +IF(AND($S64&lt;&gt;5,AA$62&lt;&gt;5,$B$5&gt;4),IF(-LN(INDEX(consMat,$S64,AA$62))*LN(INDEX(consMat,$S64,5)*INDEX(consMat,5,AA$62))&gt;0,1,0),0) +IF(AND($S64&lt;&gt;6,AA$62&lt;&gt;6,$B$5&gt;5),IF(-LN(INDEX(consMat,$S64,AA$62))*LN(INDEX(consMat,$S64,6)*INDEX(consMat,6,AA$62))&gt;0,1,0),0) +IF(AND($S64&lt;&gt;7,AA$62&lt;&gt;7,$B$5&gt;6),IF(-LN(INDEX(consMat,$S64,AA$62))*LN(INDEX(consMat,$S64,7)*INDEX(consMat,7,AA$62))&gt;0,1,0),0) +IF(AND($S64&lt;&gt;8,AA$62&lt;&gt;8,$B$5&gt;7),IF(-LN(INDEX(consMat,$S64,AA$62))*LN(INDEX(consMat,$S64,8)*INDEX(consMat,8,AA$62))&gt;0,1,0),0) +IF(AND($S64&lt;&gt;9,AA$62&lt;&gt;9,$B$5&gt;8),IF(-LN(INDEX(consMat,$S64,AA$62))*LN(INDEX(consMat,$S64,9)*INDEX(consMat,9,AA$62))&gt;0,1,0),0) +IF(AND($S64&lt;&gt;10,AA$62&lt;&gt;10,$B$5&gt;9),IF(-LN(INDEX(consMat,$S64,AA$62))*LN(INDEX(consMat,$S64,10)*INDEX(consMat,10,AA$62))&gt;0,1,0))) )</f>
        <v>0</v>
      </c>
      <c r="AB64" s="143" t="n">
        <f aca="false">IF(OR($S64&gt;$B$5,AB$62&gt;$B$5),0, 1/($B$5-2)*(   IF(AND($S64&lt;&gt;1,AB$62&lt;&gt;1, $B$5&gt;0),IF(-LN(INDEX(consMat,$S64,AB$62))*LN(INDEX(consMat,$S64,1)*INDEX(consMat,1,AB$62))&gt;0,1,0),0) +IF(AND($S64&lt;&gt;2,AB$62&lt;&gt;2,$B$5&gt;1),IF(-LN(INDEX(consMat,$S64,AB$62))*LN(INDEX(consMat,$S64,2)*INDEX(consMat,2,AB$62))&gt;0,1,0),0) +IF(AND($S64&lt;&gt;3,AB$62&lt;&gt;3,$B$5&gt;2),IF(-LN(INDEX(consMat,$S64,AB$62))*LN(INDEX(consMat,$S64,3)*INDEX(consMat,3,AB$62))&gt;0,1,0),0) +IF(AND($S64&lt;&gt;4,AB$62&lt;&gt;4,$B$5&gt;3),IF(-LN(INDEX(consMat,$S64,AB$62))*LN(INDEX(consMat,$S64,4)*INDEX(consMat,4,AB$62))&gt;0,1,0),0) +IF(AND($S64&lt;&gt;5,AB$62&lt;&gt;5,$B$5&gt;4),IF(-LN(INDEX(consMat,$S64,AB$62))*LN(INDEX(consMat,$S64,5)*INDEX(consMat,5,AB$62))&gt;0,1,0),0) +IF(AND($S64&lt;&gt;6,AB$62&lt;&gt;6,$B$5&gt;5),IF(-LN(INDEX(consMat,$S64,AB$62))*LN(INDEX(consMat,$S64,6)*INDEX(consMat,6,AB$62))&gt;0,1,0),0) +IF(AND($S64&lt;&gt;7,AB$62&lt;&gt;7,$B$5&gt;6),IF(-LN(INDEX(consMat,$S64,AB$62))*LN(INDEX(consMat,$S64,7)*INDEX(consMat,7,AB$62))&gt;0,1,0),0) +IF(AND($S64&lt;&gt;8,AB$62&lt;&gt;8,$B$5&gt;7),IF(-LN(INDEX(consMat,$S64,AB$62))*LN(INDEX(consMat,$S64,8)*INDEX(consMat,8,AB$62))&gt;0,1,0),0) +IF(AND($S64&lt;&gt;9,AB$62&lt;&gt;9,$B$5&gt;8),IF(-LN(INDEX(consMat,$S64,AB$62))*LN(INDEX(consMat,$S64,9)*INDEX(consMat,9,AB$62))&gt;0,1,0),0) +IF(AND($S64&lt;&gt;10,AB$62&lt;&gt;10,$B$5&gt;9),IF(-LN(INDEX(consMat,$S64,AB$62))*LN(INDEX(consMat,$S64,10)*INDEX(consMat,10,AB$62))&gt;0,1,0))) )</f>
        <v>0</v>
      </c>
      <c r="AC64" s="143" t="n">
        <f aca="false">IF(OR($S64&gt;$B$5,AC$62&gt;$B$5),0, 1/($B$5-2)*(   IF(AND($S64&lt;&gt;1,AC$62&lt;&gt;1, $B$5&gt;0),IF(-LN(INDEX(consMat,$S64,AC$62))*LN(INDEX(consMat,$S64,1)*INDEX(consMat,1,AC$62))&gt;0,1,0),0) +IF(AND($S64&lt;&gt;2,AC$62&lt;&gt;2,$B$5&gt;1),IF(-LN(INDEX(consMat,$S64,AC$62))*LN(INDEX(consMat,$S64,2)*INDEX(consMat,2,AC$62))&gt;0,1,0),0) +IF(AND($S64&lt;&gt;3,AC$62&lt;&gt;3,$B$5&gt;2),IF(-LN(INDEX(consMat,$S64,AC$62))*LN(INDEX(consMat,$S64,3)*INDEX(consMat,3,AC$62))&gt;0,1,0),0) +IF(AND($S64&lt;&gt;4,AC$62&lt;&gt;4,$B$5&gt;3),IF(-LN(INDEX(consMat,$S64,AC$62))*LN(INDEX(consMat,$S64,4)*INDEX(consMat,4,AC$62))&gt;0,1,0),0) +IF(AND($S64&lt;&gt;5,AC$62&lt;&gt;5,$B$5&gt;4),IF(-LN(INDEX(consMat,$S64,AC$62))*LN(INDEX(consMat,$S64,5)*INDEX(consMat,5,AC$62))&gt;0,1,0),0) +IF(AND($S64&lt;&gt;6,AC$62&lt;&gt;6,$B$5&gt;5),IF(-LN(INDEX(consMat,$S64,AC$62))*LN(INDEX(consMat,$S64,6)*INDEX(consMat,6,AC$62))&gt;0,1,0),0) +IF(AND($S64&lt;&gt;7,AC$62&lt;&gt;7,$B$5&gt;6),IF(-LN(INDEX(consMat,$S64,AC$62))*LN(INDEX(consMat,$S64,7)*INDEX(consMat,7,AC$62))&gt;0,1,0),0) +IF(AND($S64&lt;&gt;8,AC$62&lt;&gt;8,$B$5&gt;7),IF(-LN(INDEX(consMat,$S64,AC$62))*LN(INDEX(consMat,$S64,8)*INDEX(consMat,8,AC$62))&gt;0,1,0),0) +IF(AND($S64&lt;&gt;9,AC$62&lt;&gt;9,$B$5&gt;8),IF(-LN(INDEX(consMat,$S64,AC$62))*LN(INDEX(consMat,$S64,9)*INDEX(consMat,9,AC$62))&gt;0,1,0),0) +IF(AND($S64&lt;&gt;10,AC$62&lt;&gt;10,$B$5&gt;9),IF(-LN(INDEX(consMat,$S64,AC$62))*LN(INDEX(consMat,$S64,10)*INDEX(consMat,10,AC$62))&gt;0,1,0))) )</f>
        <v>0</v>
      </c>
      <c r="AH64" s="176"/>
      <c r="AL64" s="122"/>
    </row>
    <row r="65" customFormat="false" ht="12.95" hidden="true" customHeight="true" outlineLevel="1" collapsed="false">
      <c r="A65" s="173" t="s">
        <v>99</v>
      </c>
      <c r="B65" s="174" t="n">
        <v>2</v>
      </c>
      <c r="C65" s="175" t="n">
        <f aca="false">IF(B65&lt;=$B$7,TRANSPOSE(RGGM2),)</f>
        <v>0</v>
      </c>
      <c r="D65" s="175" t="n">
        <v>0</v>
      </c>
      <c r="E65" s="175" t="n">
        <v>0</v>
      </c>
      <c r="F65" s="175" t="n">
        <v>0</v>
      </c>
      <c r="G65" s="175" t="n">
        <v>0</v>
      </c>
      <c r="H65" s="175" t="n">
        <v>0</v>
      </c>
      <c r="I65" s="175" t="n">
        <v>0</v>
      </c>
      <c r="J65" s="175" t="n">
        <v>0</v>
      </c>
      <c r="K65" s="175" t="n">
        <v>0</v>
      </c>
      <c r="L65" s="175" t="n">
        <v>0</v>
      </c>
      <c r="M65" s="174"/>
      <c r="N65" s="108"/>
      <c r="O65" s="168"/>
      <c r="P65" s="108"/>
      <c r="S65" s="170" t="n">
        <v>3</v>
      </c>
      <c r="T65" s="148"/>
      <c r="U65" s="148"/>
      <c r="V65" s="142"/>
      <c r="W65" s="143" t="n">
        <f aca="false">IF(OR($S65&gt;$B$5,W$62&gt;$B$5),0, 1/($B$5-2)*(   IF(AND($S65&lt;&gt;1,W$62&lt;&gt;1, $B$5&gt;0),IF(-LN(INDEX(consMat,$S65,W$62))*LN(INDEX(consMat,$S65,1)*INDEX(consMat,1,W$62))&gt;0,1,0),0) +IF(AND($S65&lt;&gt;2,W$62&lt;&gt;2,$B$5&gt;1),IF(-LN(INDEX(consMat,$S65,W$62))*LN(INDEX(consMat,$S65,2)*INDEX(consMat,2,W$62))&gt;0,1,0),0) +IF(AND($S65&lt;&gt;3,W$62&lt;&gt;3,$B$5&gt;2),IF(-LN(INDEX(consMat,$S65,W$62))*LN(INDEX(consMat,$S65,3)*INDEX(consMat,3,W$62))&gt;0,1,0),0) +IF(AND($S65&lt;&gt;4,W$62&lt;&gt;4,$B$5&gt;3),IF(-LN(INDEX(consMat,$S65,W$62))*LN(INDEX(consMat,$S65,4)*INDEX(consMat,4,W$62))&gt;0,1,0),0) +IF(AND($S65&lt;&gt;5,W$62&lt;&gt;5,$B$5&gt;4),IF(-LN(INDEX(consMat,$S65,W$62))*LN(INDEX(consMat,$S65,5)*INDEX(consMat,5,W$62))&gt;0,1,0),0) +IF(AND($S65&lt;&gt;6,W$62&lt;&gt;6,$B$5&gt;5),IF(-LN(INDEX(consMat,$S65,W$62))*LN(INDEX(consMat,$S65,6)*INDEX(consMat,6,W$62))&gt;0,1,0),0) +IF(AND($S65&lt;&gt;7,W$62&lt;&gt;7,$B$5&gt;6),IF(-LN(INDEX(consMat,$S65,W$62))*LN(INDEX(consMat,$S65,7)*INDEX(consMat,7,W$62))&gt;0,1,0),0) +IF(AND($S65&lt;&gt;8,W$62&lt;&gt;8,$B$5&gt;7),IF(-LN(INDEX(consMat,$S65,W$62))*LN(INDEX(consMat,$S65,8)*INDEX(consMat,8,W$62))&gt;0,1,0),0) +IF(AND($S65&lt;&gt;9,W$62&lt;&gt;9,$B$5&gt;8),IF(-LN(INDEX(consMat,$S65,W$62))*LN(INDEX(consMat,$S65,9)*INDEX(consMat,9,W$62))&gt;0,1,0),0) +IF(AND($S65&lt;&gt;10,W$62&lt;&gt;10,$B$5&gt;9),IF(-LN(INDEX(consMat,$S65,W$62))*LN(INDEX(consMat,$S65,10)*INDEX(consMat,10,W$62))&gt;0,1,0))) )</f>
        <v>0</v>
      </c>
      <c r="X65" s="143" t="n">
        <f aca="false">IF(OR($S65&gt;$B$5,X$62&gt;$B$5),0, 1/($B$5-2)*(   IF(AND($S65&lt;&gt;1,X$62&lt;&gt;1, $B$5&gt;0),IF(-LN(INDEX(consMat,$S65,X$62))*LN(INDEX(consMat,$S65,1)*INDEX(consMat,1,X$62))&gt;0,1,0),0) +IF(AND($S65&lt;&gt;2,X$62&lt;&gt;2,$B$5&gt;1),IF(-LN(INDEX(consMat,$S65,X$62))*LN(INDEX(consMat,$S65,2)*INDEX(consMat,2,X$62))&gt;0,1,0),0) +IF(AND($S65&lt;&gt;3,X$62&lt;&gt;3,$B$5&gt;2),IF(-LN(INDEX(consMat,$S65,X$62))*LN(INDEX(consMat,$S65,3)*INDEX(consMat,3,X$62))&gt;0,1,0),0) +IF(AND($S65&lt;&gt;4,X$62&lt;&gt;4,$B$5&gt;3),IF(-LN(INDEX(consMat,$S65,X$62))*LN(INDEX(consMat,$S65,4)*INDEX(consMat,4,X$62))&gt;0,1,0),0) +IF(AND($S65&lt;&gt;5,X$62&lt;&gt;5,$B$5&gt;4),IF(-LN(INDEX(consMat,$S65,X$62))*LN(INDEX(consMat,$S65,5)*INDEX(consMat,5,X$62))&gt;0,1,0),0) +IF(AND($S65&lt;&gt;6,X$62&lt;&gt;6,$B$5&gt;5),IF(-LN(INDEX(consMat,$S65,X$62))*LN(INDEX(consMat,$S65,6)*INDEX(consMat,6,X$62))&gt;0,1,0),0) +IF(AND($S65&lt;&gt;7,X$62&lt;&gt;7,$B$5&gt;6),IF(-LN(INDEX(consMat,$S65,X$62))*LN(INDEX(consMat,$S65,7)*INDEX(consMat,7,X$62))&gt;0,1,0),0) +IF(AND($S65&lt;&gt;8,X$62&lt;&gt;8,$B$5&gt;7),IF(-LN(INDEX(consMat,$S65,X$62))*LN(INDEX(consMat,$S65,8)*INDEX(consMat,8,X$62))&gt;0,1,0),0) +IF(AND($S65&lt;&gt;9,X$62&lt;&gt;9,$B$5&gt;8),IF(-LN(INDEX(consMat,$S65,X$62))*LN(INDEX(consMat,$S65,9)*INDEX(consMat,9,X$62))&gt;0,1,0),0) +IF(AND($S65&lt;&gt;10,X$62&lt;&gt;10,$B$5&gt;9),IF(-LN(INDEX(consMat,$S65,X$62))*LN(INDEX(consMat,$S65,10)*INDEX(consMat,10,X$62))&gt;0,1,0))) )</f>
        <v>0</v>
      </c>
      <c r="Y65" s="143" t="n">
        <f aca="false">IF(OR($S65&gt;$B$5,Y$62&gt;$B$5),0, 1/($B$5-2)*(   IF(AND($S65&lt;&gt;1,Y$62&lt;&gt;1, $B$5&gt;0),IF(-LN(INDEX(consMat,$S65,Y$62))*LN(INDEX(consMat,$S65,1)*INDEX(consMat,1,Y$62))&gt;0,1,0),0) +IF(AND($S65&lt;&gt;2,Y$62&lt;&gt;2,$B$5&gt;1),IF(-LN(INDEX(consMat,$S65,Y$62))*LN(INDEX(consMat,$S65,2)*INDEX(consMat,2,Y$62))&gt;0,1,0),0) +IF(AND($S65&lt;&gt;3,Y$62&lt;&gt;3,$B$5&gt;2),IF(-LN(INDEX(consMat,$S65,Y$62))*LN(INDEX(consMat,$S65,3)*INDEX(consMat,3,Y$62))&gt;0,1,0),0) +IF(AND($S65&lt;&gt;4,Y$62&lt;&gt;4,$B$5&gt;3),IF(-LN(INDEX(consMat,$S65,Y$62))*LN(INDEX(consMat,$S65,4)*INDEX(consMat,4,Y$62))&gt;0,1,0),0) +IF(AND($S65&lt;&gt;5,Y$62&lt;&gt;5,$B$5&gt;4),IF(-LN(INDEX(consMat,$S65,Y$62))*LN(INDEX(consMat,$S65,5)*INDEX(consMat,5,Y$62))&gt;0,1,0),0) +IF(AND($S65&lt;&gt;6,Y$62&lt;&gt;6,$B$5&gt;5),IF(-LN(INDEX(consMat,$S65,Y$62))*LN(INDEX(consMat,$S65,6)*INDEX(consMat,6,Y$62))&gt;0,1,0),0) +IF(AND($S65&lt;&gt;7,Y$62&lt;&gt;7,$B$5&gt;6),IF(-LN(INDEX(consMat,$S65,Y$62))*LN(INDEX(consMat,$S65,7)*INDEX(consMat,7,Y$62))&gt;0,1,0),0) +IF(AND($S65&lt;&gt;8,Y$62&lt;&gt;8,$B$5&gt;7),IF(-LN(INDEX(consMat,$S65,Y$62))*LN(INDEX(consMat,$S65,8)*INDEX(consMat,8,Y$62))&gt;0,1,0),0) +IF(AND($S65&lt;&gt;9,Y$62&lt;&gt;9,$B$5&gt;8),IF(-LN(INDEX(consMat,$S65,Y$62))*LN(INDEX(consMat,$S65,9)*INDEX(consMat,9,Y$62))&gt;0,1,0),0) +IF(AND($S65&lt;&gt;10,Y$62&lt;&gt;10,$B$5&gt;9),IF(-LN(INDEX(consMat,$S65,Y$62))*LN(INDEX(consMat,$S65,10)*INDEX(consMat,10,Y$62))&gt;0,1,0))) )</f>
        <v>0</v>
      </c>
      <c r="Z65" s="143" t="n">
        <f aca="false">IF(OR($S65&gt;$B$5,Z$62&gt;$B$5),0, 1/($B$5-2)*(   IF(AND($S65&lt;&gt;1,Z$62&lt;&gt;1, $B$5&gt;0),IF(-LN(INDEX(consMat,$S65,Z$62))*LN(INDEX(consMat,$S65,1)*INDEX(consMat,1,Z$62))&gt;0,1,0),0) +IF(AND($S65&lt;&gt;2,Z$62&lt;&gt;2,$B$5&gt;1),IF(-LN(INDEX(consMat,$S65,Z$62))*LN(INDEX(consMat,$S65,2)*INDEX(consMat,2,Z$62))&gt;0,1,0),0) +IF(AND($S65&lt;&gt;3,Z$62&lt;&gt;3,$B$5&gt;2),IF(-LN(INDEX(consMat,$S65,Z$62))*LN(INDEX(consMat,$S65,3)*INDEX(consMat,3,Z$62))&gt;0,1,0),0) +IF(AND($S65&lt;&gt;4,Z$62&lt;&gt;4,$B$5&gt;3),IF(-LN(INDEX(consMat,$S65,Z$62))*LN(INDEX(consMat,$S65,4)*INDEX(consMat,4,Z$62))&gt;0,1,0),0) +IF(AND($S65&lt;&gt;5,Z$62&lt;&gt;5,$B$5&gt;4),IF(-LN(INDEX(consMat,$S65,Z$62))*LN(INDEX(consMat,$S65,5)*INDEX(consMat,5,Z$62))&gt;0,1,0),0) +IF(AND($S65&lt;&gt;6,Z$62&lt;&gt;6,$B$5&gt;5),IF(-LN(INDEX(consMat,$S65,Z$62))*LN(INDEX(consMat,$S65,6)*INDEX(consMat,6,Z$62))&gt;0,1,0),0) +IF(AND($S65&lt;&gt;7,Z$62&lt;&gt;7,$B$5&gt;6),IF(-LN(INDEX(consMat,$S65,Z$62))*LN(INDEX(consMat,$S65,7)*INDEX(consMat,7,Z$62))&gt;0,1,0),0) +IF(AND($S65&lt;&gt;8,Z$62&lt;&gt;8,$B$5&gt;7),IF(-LN(INDEX(consMat,$S65,Z$62))*LN(INDEX(consMat,$S65,8)*INDEX(consMat,8,Z$62))&gt;0,1,0),0) +IF(AND($S65&lt;&gt;9,Z$62&lt;&gt;9,$B$5&gt;8),IF(-LN(INDEX(consMat,$S65,Z$62))*LN(INDEX(consMat,$S65,9)*INDEX(consMat,9,Z$62))&gt;0,1,0),0) +IF(AND($S65&lt;&gt;10,Z$62&lt;&gt;10,$B$5&gt;9),IF(-LN(INDEX(consMat,$S65,Z$62))*LN(INDEX(consMat,$S65,10)*INDEX(consMat,10,Z$62))&gt;0,1,0))) )</f>
        <v>0</v>
      </c>
      <c r="AA65" s="143" t="n">
        <f aca="false">IF(OR($S65&gt;$B$5,AA$62&gt;$B$5),0, 1/($B$5-2)*(   IF(AND($S65&lt;&gt;1,AA$62&lt;&gt;1, $B$5&gt;0),IF(-LN(INDEX(consMat,$S65,AA$62))*LN(INDEX(consMat,$S65,1)*INDEX(consMat,1,AA$62))&gt;0,1,0),0) +IF(AND($S65&lt;&gt;2,AA$62&lt;&gt;2,$B$5&gt;1),IF(-LN(INDEX(consMat,$S65,AA$62))*LN(INDEX(consMat,$S65,2)*INDEX(consMat,2,AA$62))&gt;0,1,0),0) +IF(AND($S65&lt;&gt;3,AA$62&lt;&gt;3,$B$5&gt;2),IF(-LN(INDEX(consMat,$S65,AA$62))*LN(INDEX(consMat,$S65,3)*INDEX(consMat,3,AA$62))&gt;0,1,0),0) +IF(AND($S65&lt;&gt;4,AA$62&lt;&gt;4,$B$5&gt;3),IF(-LN(INDEX(consMat,$S65,AA$62))*LN(INDEX(consMat,$S65,4)*INDEX(consMat,4,AA$62))&gt;0,1,0),0) +IF(AND($S65&lt;&gt;5,AA$62&lt;&gt;5,$B$5&gt;4),IF(-LN(INDEX(consMat,$S65,AA$62))*LN(INDEX(consMat,$S65,5)*INDEX(consMat,5,AA$62))&gt;0,1,0),0) +IF(AND($S65&lt;&gt;6,AA$62&lt;&gt;6,$B$5&gt;5),IF(-LN(INDEX(consMat,$S65,AA$62))*LN(INDEX(consMat,$S65,6)*INDEX(consMat,6,AA$62))&gt;0,1,0),0) +IF(AND($S65&lt;&gt;7,AA$62&lt;&gt;7,$B$5&gt;6),IF(-LN(INDEX(consMat,$S65,AA$62))*LN(INDEX(consMat,$S65,7)*INDEX(consMat,7,AA$62))&gt;0,1,0),0) +IF(AND($S65&lt;&gt;8,AA$62&lt;&gt;8,$B$5&gt;7),IF(-LN(INDEX(consMat,$S65,AA$62))*LN(INDEX(consMat,$S65,8)*INDEX(consMat,8,AA$62))&gt;0,1,0),0) +IF(AND($S65&lt;&gt;9,AA$62&lt;&gt;9,$B$5&gt;8),IF(-LN(INDEX(consMat,$S65,AA$62))*LN(INDEX(consMat,$S65,9)*INDEX(consMat,9,AA$62))&gt;0,1,0),0) +IF(AND($S65&lt;&gt;10,AA$62&lt;&gt;10,$B$5&gt;9),IF(-LN(INDEX(consMat,$S65,AA$62))*LN(INDEX(consMat,$S65,10)*INDEX(consMat,10,AA$62))&gt;0,1,0))) )</f>
        <v>0</v>
      </c>
      <c r="AB65" s="143" t="n">
        <f aca="false">IF(OR($S65&gt;$B$5,AB$62&gt;$B$5),0, 1/($B$5-2)*(   IF(AND($S65&lt;&gt;1,AB$62&lt;&gt;1, $B$5&gt;0),IF(-LN(INDEX(consMat,$S65,AB$62))*LN(INDEX(consMat,$S65,1)*INDEX(consMat,1,AB$62))&gt;0,1,0),0) +IF(AND($S65&lt;&gt;2,AB$62&lt;&gt;2,$B$5&gt;1),IF(-LN(INDEX(consMat,$S65,AB$62))*LN(INDEX(consMat,$S65,2)*INDEX(consMat,2,AB$62))&gt;0,1,0),0) +IF(AND($S65&lt;&gt;3,AB$62&lt;&gt;3,$B$5&gt;2),IF(-LN(INDEX(consMat,$S65,AB$62))*LN(INDEX(consMat,$S65,3)*INDEX(consMat,3,AB$62))&gt;0,1,0),0) +IF(AND($S65&lt;&gt;4,AB$62&lt;&gt;4,$B$5&gt;3),IF(-LN(INDEX(consMat,$S65,AB$62))*LN(INDEX(consMat,$S65,4)*INDEX(consMat,4,AB$62))&gt;0,1,0),0) +IF(AND($S65&lt;&gt;5,AB$62&lt;&gt;5,$B$5&gt;4),IF(-LN(INDEX(consMat,$S65,AB$62))*LN(INDEX(consMat,$S65,5)*INDEX(consMat,5,AB$62))&gt;0,1,0),0) +IF(AND($S65&lt;&gt;6,AB$62&lt;&gt;6,$B$5&gt;5),IF(-LN(INDEX(consMat,$S65,AB$62))*LN(INDEX(consMat,$S65,6)*INDEX(consMat,6,AB$62))&gt;0,1,0),0) +IF(AND($S65&lt;&gt;7,AB$62&lt;&gt;7,$B$5&gt;6),IF(-LN(INDEX(consMat,$S65,AB$62))*LN(INDEX(consMat,$S65,7)*INDEX(consMat,7,AB$62))&gt;0,1,0),0) +IF(AND($S65&lt;&gt;8,AB$62&lt;&gt;8,$B$5&gt;7),IF(-LN(INDEX(consMat,$S65,AB$62))*LN(INDEX(consMat,$S65,8)*INDEX(consMat,8,AB$62))&gt;0,1,0),0) +IF(AND($S65&lt;&gt;9,AB$62&lt;&gt;9,$B$5&gt;8),IF(-LN(INDEX(consMat,$S65,AB$62))*LN(INDEX(consMat,$S65,9)*INDEX(consMat,9,AB$62))&gt;0,1,0),0) +IF(AND($S65&lt;&gt;10,AB$62&lt;&gt;10,$B$5&gt;9),IF(-LN(INDEX(consMat,$S65,AB$62))*LN(INDEX(consMat,$S65,10)*INDEX(consMat,10,AB$62))&gt;0,1,0))) )</f>
        <v>0</v>
      </c>
      <c r="AC65" s="143" t="n">
        <f aca="false">IF(OR($S65&gt;$B$5,AC$62&gt;$B$5),0, 1/($B$5-2)*(   IF(AND($S65&lt;&gt;1,AC$62&lt;&gt;1, $B$5&gt;0),IF(-LN(INDEX(consMat,$S65,AC$62))*LN(INDEX(consMat,$S65,1)*INDEX(consMat,1,AC$62))&gt;0,1,0),0) +IF(AND($S65&lt;&gt;2,AC$62&lt;&gt;2,$B$5&gt;1),IF(-LN(INDEX(consMat,$S65,AC$62))*LN(INDEX(consMat,$S65,2)*INDEX(consMat,2,AC$62))&gt;0,1,0),0) +IF(AND($S65&lt;&gt;3,AC$62&lt;&gt;3,$B$5&gt;2),IF(-LN(INDEX(consMat,$S65,AC$62))*LN(INDEX(consMat,$S65,3)*INDEX(consMat,3,AC$62))&gt;0,1,0),0) +IF(AND($S65&lt;&gt;4,AC$62&lt;&gt;4,$B$5&gt;3),IF(-LN(INDEX(consMat,$S65,AC$62))*LN(INDEX(consMat,$S65,4)*INDEX(consMat,4,AC$62))&gt;0,1,0),0) +IF(AND($S65&lt;&gt;5,AC$62&lt;&gt;5,$B$5&gt;4),IF(-LN(INDEX(consMat,$S65,AC$62))*LN(INDEX(consMat,$S65,5)*INDEX(consMat,5,AC$62))&gt;0,1,0),0) +IF(AND($S65&lt;&gt;6,AC$62&lt;&gt;6,$B$5&gt;5),IF(-LN(INDEX(consMat,$S65,AC$62))*LN(INDEX(consMat,$S65,6)*INDEX(consMat,6,AC$62))&gt;0,1,0),0) +IF(AND($S65&lt;&gt;7,AC$62&lt;&gt;7,$B$5&gt;6),IF(-LN(INDEX(consMat,$S65,AC$62))*LN(INDEX(consMat,$S65,7)*INDEX(consMat,7,AC$62))&gt;0,1,0),0) +IF(AND($S65&lt;&gt;8,AC$62&lt;&gt;8,$B$5&gt;7),IF(-LN(INDEX(consMat,$S65,AC$62))*LN(INDEX(consMat,$S65,8)*INDEX(consMat,8,AC$62))&gt;0,1,0),0) +IF(AND($S65&lt;&gt;9,AC$62&lt;&gt;9,$B$5&gt;8),IF(-LN(INDEX(consMat,$S65,AC$62))*LN(INDEX(consMat,$S65,9)*INDEX(consMat,9,AC$62))&gt;0,1,0),0) +IF(AND($S65&lt;&gt;10,AC$62&lt;&gt;10,$B$5&gt;9),IF(-LN(INDEX(consMat,$S65,AC$62))*LN(INDEX(consMat,$S65,10)*INDEX(consMat,10,AC$62))&gt;0,1,0))) )</f>
        <v>0</v>
      </c>
      <c r="AL65" s="122"/>
    </row>
    <row r="66" customFormat="false" ht="12.75" hidden="true" customHeight="false" outlineLevel="1" collapsed="false">
      <c r="A66" s="177"/>
      <c r="B66" s="174" t="n">
        <v>3</v>
      </c>
      <c r="C66" s="175" t="n">
        <f aca="false">IF(B66&lt;=$B$7,TRANSPOSE(RGGM3),)</f>
        <v>0</v>
      </c>
      <c r="D66" s="175" t="n">
        <v>0</v>
      </c>
      <c r="E66" s="175" t="n">
        <v>0</v>
      </c>
      <c r="F66" s="175" t="n">
        <v>0</v>
      </c>
      <c r="G66" s="175" t="n">
        <v>0</v>
      </c>
      <c r="H66" s="175" t="n">
        <v>0</v>
      </c>
      <c r="I66" s="175" t="n">
        <v>0</v>
      </c>
      <c r="J66" s="175" t="n">
        <v>0</v>
      </c>
      <c r="K66" s="175" t="n">
        <v>0</v>
      </c>
      <c r="L66" s="175" t="n">
        <v>0</v>
      </c>
      <c r="M66" s="174"/>
      <c r="N66" s="108"/>
      <c r="O66" s="168"/>
      <c r="P66" s="108"/>
      <c r="S66" s="170" t="n">
        <v>4</v>
      </c>
      <c r="T66" s="148"/>
      <c r="U66" s="148"/>
      <c r="V66" s="148"/>
      <c r="W66" s="142"/>
      <c r="X66" s="143" t="n">
        <f aca="false">IF(OR($S66&gt;$B$5,X$62&gt;$B$5),0, 1/($B$5-2)*(   IF(AND($S66&lt;&gt;1,X$62&lt;&gt;1, $B$5&gt;0),IF(-LN(INDEX(consMat,$S66,X$62))*LN(INDEX(consMat,$S66,1)*INDEX(consMat,1,X$62))&gt;0,1,0),0) +IF(AND($S66&lt;&gt;2,X$62&lt;&gt;2,$B$5&gt;1),IF(-LN(INDEX(consMat,$S66,X$62))*LN(INDEX(consMat,$S66,2)*INDEX(consMat,2,X$62))&gt;0,1,0),0) +IF(AND($S66&lt;&gt;3,X$62&lt;&gt;3,$B$5&gt;2),IF(-LN(INDEX(consMat,$S66,X$62))*LN(INDEX(consMat,$S66,3)*INDEX(consMat,3,X$62))&gt;0,1,0),0) +IF(AND($S66&lt;&gt;4,X$62&lt;&gt;4,$B$5&gt;3),IF(-LN(INDEX(consMat,$S66,X$62))*LN(INDEX(consMat,$S66,4)*INDEX(consMat,4,X$62))&gt;0,1,0),0) +IF(AND($S66&lt;&gt;5,X$62&lt;&gt;5,$B$5&gt;4),IF(-LN(INDEX(consMat,$S66,X$62))*LN(INDEX(consMat,$S66,5)*INDEX(consMat,5,X$62))&gt;0,1,0),0) +IF(AND($S66&lt;&gt;6,X$62&lt;&gt;6,$B$5&gt;5),IF(-LN(INDEX(consMat,$S66,X$62))*LN(INDEX(consMat,$S66,6)*INDEX(consMat,6,X$62))&gt;0,1,0),0) +IF(AND($S66&lt;&gt;7,X$62&lt;&gt;7,$B$5&gt;6),IF(-LN(INDEX(consMat,$S66,X$62))*LN(INDEX(consMat,$S66,7)*INDEX(consMat,7,X$62))&gt;0,1,0),0) +IF(AND($S66&lt;&gt;8,X$62&lt;&gt;8,$B$5&gt;7),IF(-LN(INDEX(consMat,$S66,X$62))*LN(INDEX(consMat,$S66,8)*INDEX(consMat,8,X$62))&gt;0,1,0),0) +IF(AND($S66&lt;&gt;9,X$62&lt;&gt;9,$B$5&gt;8),IF(-LN(INDEX(consMat,$S66,X$62))*LN(INDEX(consMat,$S66,9)*INDEX(consMat,9,X$62))&gt;0,1,0),0) +IF(AND($S66&lt;&gt;10,X$62&lt;&gt;10,$B$5&gt;9),IF(-LN(INDEX(consMat,$S66,X$62))*LN(INDEX(consMat,$S66,10)*INDEX(consMat,10,X$62))&gt;0,1,0))) )</f>
        <v>0</v>
      </c>
      <c r="Y66" s="143" t="n">
        <f aca="false">IF(OR($S66&gt;$B$5,Y$62&gt;$B$5),0, 1/($B$5-2)*(   IF(AND($S66&lt;&gt;1,Y$62&lt;&gt;1, $B$5&gt;0),IF(-LN(INDEX(consMat,$S66,Y$62))*LN(INDEX(consMat,$S66,1)*INDEX(consMat,1,Y$62))&gt;0,1,0),0) +IF(AND($S66&lt;&gt;2,Y$62&lt;&gt;2,$B$5&gt;1),IF(-LN(INDEX(consMat,$S66,Y$62))*LN(INDEX(consMat,$S66,2)*INDEX(consMat,2,Y$62))&gt;0,1,0),0) +IF(AND($S66&lt;&gt;3,Y$62&lt;&gt;3,$B$5&gt;2),IF(-LN(INDEX(consMat,$S66,Y$62))*LN(INDEX(consMat,$S66,3)*INDEX(consMat,3,Y$62))&gt;0,1,0),0) +IF(AND($S66&lt;&gt;4,Y$62&lt;&gt;4,$B$5&gt;3),IF(-LN(INDEX(consMat,$S66,Y$62))*LN(INDEX(consMat,$S66,4)*INDEX(consMat,4,Y$62))&gt;0,1,0),0) +IF(AND($S66&lt;&gt;5,Y$62&lt;&gt;5,$B$5&gt;4),IF(-LN(INDEX(consMat,$S66,Y$62))*LN(INDEX(consMat,$S66,5)*INDEX(consMat,5,Y$62))&gt;0,1,0),0) +IF(AND($S66&lt;&gt;6,Y$62&lt;&gt;6,$B$5&gt;5),IF(-LN(INDEX(consMat,$S66,Y$62))*LN(INDEX(consMat,$S66,6)*INDEX(consMat,6,Y$62))&gt;0,1,0),0) +IF(AND($S66&lt;&gt;7,Y$62&lt;&gt;7,$B$5&gt;6),IF(-LN(INDEX(consMat,$S66,Y$62))*LN(INDEX(consMat,$S66,7)*INDEX(consMat,7,Y$62))&gt;0,1,0),0) +IF(AND($S66&lt;&gt;8,Y$62&lt;&gt;8,$B$5&gt;7),IF(-LN(INDEX(consMat,$S66,Y$62))*LN(INDEX(consMat,$S66,8)*INDEX(consMat,8,Y$62))&gt;0,1,0),0) +IF(AND($S66&lt;&gt;9,Y$62&lt;&gt;9,$B$5&gt;8),IF(-LN(INDEX(consMat,$S66,Y$62))*LN(INDEX(consMat,$S66,9)*INDEX(consMat,9,Y$62))&gt;0,1,0),0) +IF(AND($S66&lt;&gt;10,Y$62&lt;&gt;10,$B$5&gt;9),IF(-LN(INDEX(consMat,$S66,Y$62))*LN(INDEX(consMat,$S66,10)*INDEX(consMat,10,Y$62))&gt;0,1,0))) )</f>
        <v>0</v>
      </c>
      <c r="Z66" s="143" t="n">
        <f aca="false">IF(OR($S66&gt;$B$5,Z$62&gt;$B$5),0, 1/($B$5-2)*(   IF(AND($S66&lt;&gt;1,Z$62&lt;&gt;1, $B$5&gt;0),IF(-LN(INDEX(consMat,$S66,Z$62))*LN(INDEX(consMat,$S66,1)*INDEX(consMat,1,Z$62))&gt;0,1,0),0) +IF(AND($S66&lt;&gt;2,Z$62&lt;&gt;2,$B$5&gt;1),IF(-LN(INDEX(consMat,$S66,Z$62))*LN(INDEX(consMat,$S66,2)*INDEX(consMat,2,Z$62))&gt;0,1,0),0) +IF(AND($S66&lt;&gt;3,Z$62&lt;&gt;3,$B$5&gt;2),IF(-LN(INDEX(consMat,$S66,Z$62))*LN(INDEX(consMat,$S66,3)*INDEX(consMat,3,Z$62))&gt;0,1,0),0) +IF(AND($S66&lt;&gt;4,Z$62&lt;&gt;4,$B$5&gt;3),IF(-LN(INDEX(consMat,$S66,Z$62))*LN(INDEX(consMat,$S66,4)*INDEX(consMat,4,Z$62))&gt;0,1,0),0) +IF(AND($S66&lt;&gt;5,Z$62&lt;&gt;5,$B$5&gt;4),IF(-LN(INDEX(consMat,$S66,Z$62))*LN(INDEX(consMat,$S66,5)*INDEX(consMat,5,Z$62))&gt;0,1,0),0) +IF(AND($S66&lt;&gt;6,Z$62&lt;&gt;6,$B$5&gt;5),IF(-LN(INDEX(consMat,$S66,Z$62))*LN(INDEX(consMat,$S66,6)*INDEX(consMat,6,Z$62))&gt;0,1,0),0) +IF(AND($S66&lt;&gt;7,Z$62&lt;&gt;7,$B$5&gt;6),IF(-LN(INDEX(consMat,$S66,Z$62))*LN(INDEX(consMat,$S66,7)*INDEX(consMat,7,Z$62))&gt;0,1,0),0) +IF(AND($S66&lt;&gt;8,Z$62&lt;&gt;8,$B$5&gt;7),IF(-LN(INDEX(consMat,$S66,Z$62))*LN(INDEX(consMat,$S66,8)*INDEX(consMat,8,Z$62))&gt;0,1,0),0) +IF(AND($S66&lt;&gt;9,Z$62&lt;&gt;9,$B$5&gt;8),IF(-LN(INDEX(consMat,$S66,Z$62))*LN(INDEX(consMat,$S66,9)*INDEX(consMat,9,Z$62))&gt;0,1,0),0) +IF(AND($S66&lt;&gt;10,Z$62&lt;&gt;10,$B$5&gt;9),IF(-LN(INDEX(consMat,$S66,Z$62))*LN(INDEX(consMat,$S66,10)*INDEX(consMat,10,Z$62))&gt;0,1,0))) )</f>
        <v>0</v>
      </c>
      <c r="AA66" s="143" t="n">
        <f aca="false">IF(OR($S66&gt;$B$5,AA$62&gt;$B$5),0, 1/($B$5-2)*(   IF(AND($S66&lt;&gt;1,AA$62&lt;&gt;1, $B$5&gt;0),IF(-LN(INDEX(consMat,$S66,AA$62))*LN(INDEX(consMat,$S66,1)*INDEX(consMat,1,AA$62))&gt;0,1,0),0) +IF(AND($S66&lt;&gt;2,AA$62&lt;&gt;2,$B$5&gt;1),IF(-LN(INDEX(consMat,$S66,AA$62))*LN(INDEX(consMat,$S66,2)*INDEX(consMat,2,AA$62))&gt;0,1,0),0) +IF(AND($S66&lt;&gt;3,AA$62&lt;&gt;3,$B$5&gt;2),IF(-LN(INDEX(consMat,$S66,AA$62))*LN(INDEX(consMat,$S66,3)*INDEX(consMat,3,AA$62))&gt;0,1,0),0) +IF(AND($S66&lt;&gt;4,AA$62&lt;&gt;4,$B$5&gt;3),IF(-LN(INDEX(consMat,$S66,AA$62))*LN(INDEX(consMat,$S66,4)*INDEX(consMat,4,AA$62))&gt;0,1,0),0) +IF(AND($S66&lt;&gt;5,AA$62&lt;&gt;5,$B$5&gt;4),IF(-LN(INDEX(consMat,$S66,AA$62))*LN(INDEX(consMat,$S66,5)*INDEX(consMat,5,AA$62))&gt;0,1,0),0) +IF(AND($S66&lt;&gt;6,AA$62&lt;&gt;6,$B$5&gt;5),IF(-LN(INDEX(consMat,$S66,AA$62))*LN(INDEX(consMat,$S66,6)*INDEX(consMat,6,AA$62))&gt;0,1,0),0) +IF(AND($S66&lt;&gt;7,AA$62&lt;&gt;7,$B$5&gt;6),IF(-LN(INDEX(consMat,$S66,AA$62))*LN(INDEX(consMat,$S66,7)*INDEX(consMat,7,AA$62))&gt;0,1,0),0) +IF(AND($S66&lt;&gt;8,AA$62&lt;&gt;8,$B$5&gt;7),IF(-LN(INDEX(consMat,$S66,AA$62))*LN(INDEX(consMat,$S66,8)*INDEX(consMat,8,AA$62))&gt;0,1,0),0) +IF(AND($S66&lt;&gt;9,AA$62&lt;&gt;9,$B$5&gt;8),IF(-LN(INDEX(consMat,$S66,AA$62))*LN(INDEX(consMat,$S66,9)*INDEX(consMat,9,AA$62))&gt;0,1,0),0) +IF(AND($S66&lt;&gt;10,AA$62&lt;&gt;10,$B$5&gt;9),IF(-LN(INDEX(consMat,$S66,AA$62))*LN(INDEX(consMat,$S66,10)*INDEX(consMat,10,AA$62))&gt;0,1,0))) )</f>
        <v>0</v>
      </c>
      <c r="AB66" s="143" t="n">
        <f aca="false">IF(OR($S66&gt;$B$5,AB$62&gt;$B$5),0, 1/($B$5-2)*(   IF(AND($S66&lt;&gt;1,AB$62&lt;&gt;1, $B$5&gt;0),IF(-LN(INDEX(consMat,$S66,AB$62))*LN(INDEX(consMat,$S66,1)*INDEX(consMat,1,AB$62))&gt;0,1,0),0) +IF(AND($S66&lt;&gt;2,AB$62&lt;&gt;2,$B$5&gt;1),IF(-LN(INDEX(consMat,$S66,AB$62))*LN(INDEX(consMat,$S66,2)*INDEX(consMat,2,AB$62))&gt;0,1,0),0) +IF(AND($S66&lt;&gt;3,AB$62&lt;&gt;3,$B$5&gt;2),IF(-LN(INDEX(consMat,$S66,AB$62))*LN(INDEX(consMat,$S66,3)*INDEX(consMat,3,AB$62))&gt;0,1,0),0) +IF(AND($S66&lt;&gt;4,AB$62&lt;&gt;4,$B$5&gt;3),IF(-LN(INDEX(consMat,$S66,AB$62))*LN(INDEX(consMat,$S66,4)*INDEX(consMat,4,AB$62))&gt;0,1,0),0) +IF(AND($S66&lt;&gt;5,AB$62&lt;&gt;5,$B$5&gt;4),IF(-LN(INDEX(consMat,$S66,AB$62))*LN(INDEX(consMat,$S66,5)*INDEX(consMat,5,AB$62))&gt;0,1,0),0) +IF(AND($S66&lt;&gt;6,AB$62&lt;&gt;6,$B$5&gt;5),IF(-LN(INDEX(consMat,$S66,AB$62))*LN(INDEX(consMat,$S66,6)*INDEX(consMat,6,AB$62))&gt;0,1,0),0) +IF(AND($S66&lt;&gt;7,AB$62&lt;&gt;7,$B$5&gt;6),IF(-LN(INDEX(consMat,$S66,AB$62))*LN(INDEX(consMat,$S66,7)*INDEX(consMat,7,AB$62))&gt;0,1,0),0) +IF(AND($S66&lt;&gt;8,AB$62&lt;&gt;8,$B$5&gt;7),IF(-LN(INDEX(consMat,$S66,AB$62))*LN(INDEX(consMat,$S66,8)*INDEX(consMat,8,AB$62))&gt;0,1,0),0) +IF(AND($S66&lt;&gt;9,AB$62&lt;&gt;9,$B$5&gt;8),IF(-LN(INDEX(consMat,$S66,AB$62))*LN(INDEX(consMat,$S66,9)*INDEX(consMat,9,AB$62))&gt;0,1,0),0) +IF(AND($S66&lt;&gt;10,AB$62&lt;&gt;10,$B$5&gt;9),IF(-LN(INDEX(consMat,$S66,AB$62))*LN(INDEX(consMat,$S66,10)*INDEX(consMat,10,AB$62))&gt;0,1,0))) )</f>
        <v>0</v>
      </c>
      <c r="AC66" s="143" t="n">
        <f aca="false">IF(OR($S66&gt;$B$5,AC$62&gt;$B$5),0, 1/($B$5-2)*(   IF(AND($S66&lt;&gt;1,AC$62&lt;&gt;1, $B$5&gt;0),IF(-LN(INDEX(consMat,$S66,AC$62))*LN(INDEX(consMat,$S66,1)*INDEX(consMat,1,AC$62))&gt;0,1,0),0) +IF(AND($S66&lt;&gt;2,AC$62&lt;&gt;2,$B$5&gt;1),IF(-LN(INDEX(consMat,$S66,AC$62))*LN(INDEX(consMat,$S66,2)*INDEX(consMat,2,AC$62))&gt;0,1,0),0) +IF(AND($S66&lt;&gt;3,AC$62&lt;&gt;3,$B$5&gt;2),IF(-LN(INDEX(consMat,$S66,AC$62))*LN(INDEX(consMat,$S66,3)*INDEX(consMat,3,AC$62))&gt;0,1,0),0) +IF(AND($S66&lt;&gt;4,AC$62&lt;&gt;4,$B$5&gt;3),IF(-LN(INDEX(consMat,$S66,AC$62))*LN(INDEX(consMat,$S66,4)*INDEX(consMat,4,AC$62))&gt;0,1,0),0) +IF(AND($S66&lt;&gt;5,AC$62&lt;&gt;5,$B$5&gt;4),IF(-LN(INDEX(consMat,$S66,AC$62))*LN(INDEX(consMat,$S66,5)*INDEX(consMat,5,AC$62))&gt;0,1,0),0) +IF(AND($S66&lt;&gt;6,AC$62&lt;&gt;6,$B$5&gt;5),IF(-LN(INDEX(consMat,$S66,AC$62))*LN(INDEX(consMat,$S66,6)*INDEX(consMat,6,AC$62))&gt;0,1,0),0) +IF(AND($S66&lt;&gt;7,AC$62&lt;&gt;7,$B$5&gt;6),IF(-LN(INDEX(consMat,$S66,AC$62))*LN(INDEX(consMat,$S66,7)*INDEX(consMat,7,AC$62))&gt;0,1,0),0) +IF(AND($S66&lt;&gt;8,AC$62&lt;&gt;8,$B$5&gt;7),IF(-LN(INDEX(consMat,$S66,AC$62))*LN(INDEX(consMat,$S66,8)*INDEX(consMat,8,AC$62))&gt;0,1,0),0) +IF(AND($S66&lt;&gt;9,AC$62&lt;&gt;9,$B$5&gt;8),IF(-LN(INDEX(consMat,$S66,AC$62))*LN(INDEX(consMat,$S66,9)*INDEX(consMat,9,AC$62))&gt;0,1,0),0) +IF(AND($S66&lt;&gt;10,AC$62&lt;&gt;10,$B$5&gt;9),IF(-LN(INDEX(consMat,$S66,AC$62))*LN(INDEX(consMat,$S66,10)*INDEX(consMat,10,AC$62))&gt;0,1,0))) )</f>
        <v>0</v>
      </c>
      <c r="AL66" s="122"/>
    </row>
    <row r="67" customFormat="false" ht="12.8" hidden="true" customHeight="false" outlineLevel="1" collapsed="false">
      <c r="A67" s="177"/>
      <c r="B67" s="174" t="n">
        <v>4</v>
      </c>
      <c r="C67" s="175" t="n">
        <f aca="false">IF(B67&lt;=$B$7,TRANSPOSE(RGGM4),)</f>
        <v>0</v>
      </c>
      <c r="D67" s="175" t="n">
        <v>0</v>
      </c>
      <c r="E67" s="175" t="n">
        <v>0</v>
      </c>
      <c r="F67" s="175" t="n">
        <v>0</v>
      </c>
      <c r="G67" s="175" t="n">
        <v>0</v>
      </c>
      <c r="H67" s="175" t="n">
        <v>0</v>
      </c>
      <c r="I67" s="175" t="n">
        <v>0</v>
      </c>
      <c r="J67" s="175" t="n">
        <v>0</v>
      </c>
      <c r="K67" s="175" t="n">
        <v>0</v>
      </c>
      <c r="L67" s="175" t="n">
        <v>0</v>
      </c>
      <c r="M67" s="174"/>
      <c r="N67" s="108"/>
      <c r="O67" s="168"/>
      <c r="P67" s="108"/>
      <c r="S67" s="170" t="n">
        <v>5</v>
      </c>
      <c r="T67" s="148"/>
      <c r="U67" s="148"/>
      <c r="V67" s="148"/>
      <c r="W67" s="148"/>
      <c r="X67" s="142"/>
      <c r="Y67" s="143" t="n">
        <f aca="false">IF(OR($S67&gt;$B$5,Y$62&gt;$B$5),0, 1/($B$5-2)*(   IF(AND($S67&lt;&gt;1,Y$62&lt;&gt;1, $B$5&gt;0),IF(-LN(INDEX(consMat,$S67,Y$62))*LN(INDEX(consMat,$S67,1)*INDEX(consMat,1,Y$62))&gt;0,1,0),0) +IF(AND($S67&lt;&gt;2,Y$62&lt;&gt;2,$B$5&gt;1),IF(-LN(INDEX(consMat,$S67,Y$62))*LN(INDEX(consMat,$S67,2)*INDEX(consMat,2,Y$62))&gt;0,1,0),0) +IF(AND($S67&lt;&gt;3,Y$62&lt;&gt;3,$B$5&gt;2),IF(-LN(INDEX(consMat,$S67,Y$62))*LN(INDEX(consMat,$S67,3)*INDEX(consMat,3,Y$62))&gt;0,1,0),0) +IF(AND($S67&lt;&gt;4,Y$62&lt;&gt;4,$B$5&gt;3),IF(-LN(INDEX(consMat,$S67,Y$62))*LN(INDEX(consMat,$S67,4)*INDEX(consMat,4,Y$62))&gt;0,1,0),0) +IF(AND($S67&lt;&gt;5,Y$62&lt;&gt;5,$B$5&gt;4),IF(-LN(INDEX(consMat,$S67,Y$62))*LN(INDEX(consMat,$S67,5)*INDEX(consMat,5,Y$62))&gt;0,1,0),0) +IF(AND($S67&lt;&gt;6,Y$62&lt;&gt;6,$B$5&gt;5),IF(-LN(INDEX(consMat,$S67,Y$62))*LN(INDEX(consMat,$S67,6)*INDEX(consMat,6,Y$62))&gt;0,1,0),0) +IF(AND($S67&lt;&gt;7,Y$62&lt;&gt;7,$B$5&gt;6),IF(-LN(INDEX(consMat,$S67,Y$62))*LN(INDEX(consMat,$S67,7)*INDEX(consMat,7,Y$62))&gt;0,1,0),0) +IF(AND($S67&lt;&gt;8,Y$62&lt;&gt;8,$B$5&gt;7),IF(-LN(INDEX(consMat,$S67,Y$62))*LN(INDEX(consMat,$S67,8)*INDEX(consMat,8,Y$62))&gt;0,1,0),0) +IF(AND($S67&lt;&gt;9,Y$62&lt;&gt;9,$B$5&gt;8),IF(-LN(INDEX(consMat,$S67,Y$62))*LN(INDEX(consMat,$S67,9)*INDEX(consMat,9,Y$62))&gt;0,1,0),0) +IF(AND($S67&lt;&gt;10,Y$62&lt;&gt;10,$B$5&gt;9),IF(-LN(INDEX(consMat,$S67,Y$62))*LN(INDEX(consMat,$S67,10)*INDEX(consMat,10,Y$62))&gt;0,1,0))) )</f>
        <v>0</v>
      </c>
      <c r="Z67" s="143" t="n">
        <f aca="false">IF(OR($S67&gt;$B$5,Z$62&gt;$B$5),0, 1/($B$5-2)*(   IF(AND($S67&lt;&gt;1,Z$62&lt;&gt;1, $B$5&gt;0),IF(-LN(INDEX(consMat,$S67,Z$62))*LN(INDEX(consMat,$S67,1)*INDEX(consMat,1,Z$62))&gt;0,1,0),0) +IF(AND($S67&lt;&gt;2,Z$62&lt;&gt;2,$B$5&gt;1),IF(-LN(INDEX(consMat,$S67,Z$62))*LN(INDEX(consMat,$S67,2)*INDEX(consMat,2,Z$62))&gt;0,1,0),0) +IF(AND($S67&lt;&gt;3,Z$62&lt;&gt;3,$B$5&gt;2),IF(-LN(INDEX(consMat,$S67,Z$62))*LN(INDEX(consMat,$S67,3)*INDEX(consMat,3,Z$62))&gt;0,1,0),0) +IF(AND($S67&lt;&gt;4,Z$62&lt;&gt;4,$B$5&gt;3),IF(-LN(INDEX(consMat,$S67,Z$62))*LN(INDEX(consMat,$S67,4)*INDEX(consMat,4,Z$62))&gt;0,1,0),0) +IF(AND($S67&lt;&gt;5,Z$62&lt;&gt;5,$B$5&gt;4),IF(-LN(INDEX(consMat,$S67,Z$62))*LN(INDEX(consMat,$S67,5)*INDEX(consMat,5,Z$62))&gt;0,1,0),0) +IF(AND($S67&lt;&gt;6,Z$62&lt;&gt;6,$B$5&gt;5),IF(-LN(INDEX(consMat,$S67,Z$62))*LN(INDEX(consMat,$S67,6)*INDEX(consMat,6,Z$62))&gt;0,1,0),0) +IF(AND($S67&lt;&gt;7,Z$62&lt;&gt;7,$B$5&gt;6),IF(-LN(INDEX(consMat,$S67,Z$62))*LN(INDEX(consMat,$S67,7)*INDEX(consMat,7,Z$62))&gt;0,1,0),0) +IF(AND($S67&lt;&gt;8,Z$62&lt;&gt;8,$B$5&gt;7),IF(-LN(INDEX(consMat,$S67,Z$62))*LN(INDEX(consMat,$S67,8)*INDEX(consMat,8,Z$62))&gt;0,1,0),0) +IF(AND($S67&lt;&gt;9,Z$62&lt;&gt;9,$B$5&gt;8),IF(-LN(INDEX(consMat,$S67,Z$62))*LN(INDEX(consMat,$S67,9)*INDEX(consMat,9,Z$62))&gt;0,1,0),0) +IF(AND($S67&lt;&gt;10,Z$62&lt;&gt;10,$B$5&gt;9),IF(-LN(INDEX(consMat,$S67,Z$62))*LN(INDEX(consMat,$S67,10)*INDEX(consMat,10,Z$62))&gt;0,1,0))) )</f>
        <v>0</v>
      </c>
      <c r="AA67" s="143" t="n">
        <f aca="false">IF(OR($S67&gt;$B$5,AA$62&gt;$B$5),0, 1/($B$5-2)*(   IF(AND($S67&lt;&gt;1,AA$62&lt;&gt;1, $B$5&gt;0),IF(-LN(INDEX(consMat,$S67,AA$62))*LN(INDEX(consMat,$S67,1)*INDEX(consMat,1,AA$62))&gt;0,1,0),0) +IF(AND($S67&lt;&gt;2,AA$62&lt;&gt;2,$B$5&gt;1),IF(-LN(INDEX(consMat,$S67,AA$62))*LN(INDEX(consMat,$S67,2)*INDEX(consMat,2,AA$62))&gt;0,1,0),0) +IF(AND($S67&lt;&gt;3,AA$62&lt;&gt;3,$B$5&gt;2),IF(-LN(INDEX(consMat,$S67,AA$62))*LN(INDEX(consMat,$S67,3)*INDEX(consMat,3,AA$62))&gt;0,1,0),0) +IF(AND($S67&lt;&gt;4,AA$62&lt;&gt;4,$B$5&gt;3),IF(-LN(INDEX(consMat,$S67,AA$62))*LN(INDEX(consMat,$S67,4)*INDEX(consMat,4,AA$62))&gt;0,1,0),0) +IF(AND($S67&lt;&gt;5,AA$62&lt;&gt;5,$B$5&gt;4),IF(-LN(INDEX(consMat,$S67,AA$62))*LN(INDEX(consMat,$S67,5)*INDEX(consMat,5,AA$62))&gt;0,1,0),0) +IF(AND($S67&lt;&gt;6,AA$62&lt;&gt;6,$B$5&gt;5),IF(-LN(INDEX(consMat,$S67,AA$62))*LN(INDEX(consMat,$S67,6)*INDEX(consMat,6,AA$62))&gt;0,1,0),0) +IF(AND($S67&lt;&gt;7,AA$62&lt;&gt;7,$B$5&gt;6),IF(-LN(INDEX(consMat,$S67,AA$62))*LN(INDEX(consMat,$S67,7)*INDEX(consMat,7,AA$62))&gt;0,1,0),0) +IF(AND($S67&lt;&gt;8,AA$62&lt;&gt;8,$B$5&gt;7),IF(-LN(INDEX(consMat,$S67,AA$62))*LN(INDEX(consMat,$S67,8)*INDEX(consMat,8,AA$62))&gt;0,1,0),0) +IF(AND($S67&lt;&gt;9,AA$62&lt;&gt;9,$B$5&gt;8),IF(-LN(INDEX(consMat,$S67,AA$62))*LN(INDEX(consMat,$S67,9)*INDEX(consMat,9,AA$62))&gt;0,1,0),0) +IF(AND($S67&lt;&gt;10,AA$62&lt;&gt;10,$B$5&gt;9),IF(-LN(INDEX(consMat,$S67,AA$62))*LN(INDEX(consMat,$S67,10)*INDEX(consMat,10,AA$62))&gt;0,1,0))) )</f>
        <v>0</v>
      </c>
      <c r="AB67" s="143" t="n">
        <f aca="false">IF(OR($S67&gt;$B$5,AB$62&gt;$B$5),0, 1/($B$5-2)*(   IF(AND($S67&lt;&gt;1,AB$62&lt;&gt;1, $B$5&gt;0),IF(-LN(INDEX(consMat,$S67,AB$62))*LN(INDEX(consMat,$S67,1)*INDEX(consMat,1,AB$62))&gt;0,1,0),0) +IF(AND($S67&lt;&gt;2,AB$62&lt;&gt;2,$B$5&gt;1),IF(-LN(INDEX(consMat,$S67,AB$62))*LN(INDEX(consMat,$S67,2)*INDEX(consMat,2,AB$62))&gt;0,1,0),0) +IF(AND($S67&lt;&gt;3,AB$62&lt;&gt;3,$B$5&gt;2),IF(-LN(INDEX(consMat,$S67,AB$62))*LN(INDEX(consMat,$S67,3)*INDEX(consMat,3,AB$62))&gt;0,1,0),0) +IF(AND($S67&lt;&gt;4,AB$62&lt;&gt;4,$B$5&gt;3),IF(-LN(INDEX(consMat,$S67,AB$62))*LN(INDEX(consMat,$S67,4)*INDEX(consMat,4,AB$62))&gt;0,1,0),0) +IF(AND($S67&lt;&gt;5,AB$62&lt;&gt;5,$B$5&gt;4),IF(-LN(INDEX(consMat,$S67,AB$62))*LN(INDEX(consMat,$S67,5)*INDEX(consMat,5,AB$62))&gt;0,1,0),0) +IF(AND($S67&lt;&gt;6,AB$62&lt;&gt;6,$B$5&gt;5),IF(-LN(INDEX(consMat,$S67,AB$62))*LN(INDEX(consMat,$S67,6)*INDEX(consMat,6,AB$62))&gt;0,1,0),0) +IF(AND($S67&lt;&gt;7,AB$62&lt;&gt;7,$B$5&gt;6),IF(-LN(INDEX(consMat,$S67,AB$62))*LN(INDEX(consMat,$S67,7)*INDEX(consMat,7,AB$62))&gt;0,1,0),0) +IF(AND($S67&lt;&gt;8,AB$62&lt;&gt;8,$B$5&gt;7),IF(-LN(INDEX(consMat,$S67,AB$62))*LN(INDEX(consMat,$S67,8)*INDEX(consMat,8,AB$62))&gt;0,1,0),0) +IF(AND($S67&lt;&gt;9,AB$62&lt;&gt;9,$B$5&gt;8),IF(-LN(INDEX(consMat,$S67,AB$62))*LN(INDEX(consMat,$S67,9)*INDEX(consMat,9,AB$62))&gt;0,1,0),0) +IF(AND($S67&lt;&gt;10,AB$62&lt;&gt;10,$B$5&gt;9),IF(-LN(INDEX(consMat,$S67,AB$62))*LN(INDEX(consMat,$S67,10)*INDEX(consMat,10,AB$62))&gt;0,1,0))) )</f>
        <v>0</v>
      </c>
      <c r="AC67" s="143" t="n">
        <f aca="false">IF(OR($S67&gt;$B$5,AC$62&gt;$B$5),0, 1/($B$5-2)*(   IF(AND($S67&lt;&gt;1,AC$62&lt;&gt;1, $B$5&gt;0),IF(-LN(INDEX(consMat,$S67,AC$62))*LN(INDEX(consMat,$S67,1)*INDEX(consMat,1,AC$62))&gt;0,1,0),0) +IF(AND($S67&lt;&gt;2,AC$62&lt;&gt;2,$B$5&gt;1),IF(-LN(INDEX(consMat,$S67,AC$62))*LN(INDEX(consMat,$S67,2)*INDEX(consMat,2,AC$62))&gt;0,1,0),0) +IF(AND($S67&lt;&gt;3,AC$62&lt;&gt;3,$B$5&gt;2),IF(-LN(INDEX(consMat,$S67,AC$62))*LN(INDEX(consMat,$S67,3)*INDEX(consMat,3,AC$62))&gt;0,1,0),0) +IF(AND($S67&lt;&gt;4,AC$62&lt;&gt;4,$B$5&gt;3),IF(-LN(INDEX(consMat,$S67,AC$62))*LN(INDEX(consMat,$S67,4)*INDEX(consMat,4,AC$62))&gt;0,1,0),0) +IF(AND($S67&lt;&gt;5,AC$62&lt;&gt;5,$B$5&gt;4),IF(-LN(INDEX(consMat,$S67,AC$62))*LN(INDEX(consMat,$S67,5)*INDEX(consMat,5,AC$62))&gt;0,1,0),0) +IF(AND($S67&lt;&gt;6,AC$62&lt;&gt;6,$B$5&gt;5),IF(-LN(INDEX(consMat,$S67,AC$62))*LN(INDEX(consMat,$S67,6)*INDEX(consMat,6,AC$62))&gt;0,1,0),0) +IF(AND($S67&lt;&gt;7,AC$62&lt;&gt;7,$B$5&gt;6),IF(-LN(INDEX(consMat,$S67,AC$62))*LN(INDEX(consMat,$S67,7)*INDEX(consMat,7,AC$62))&gt;0,1,0),0) +IF(AND($S67&lt;&gt;8,AC$62&lt;&gt;8,$B$5&gt;7),IF(-LN(INDEX(consMat,$S67,AC$62))*LN(INDEX(consMat,$S67,8)*INDEX(consMat,8,AC$62))&gt;0,1,0),0) +IF(AND($S67&lt;&gt;9,AC$62&lt;&gt;9,$B$5&gt;8),IF(-LN(INDEX(consMat,$S67,AC$62))*LN(INDEX(consMat,$S67,9)*INDEX(consMat,9,AC$62))&gt;0,1,0),0) +IF(AND($S67&lt;&gt;10,AC$62&lt;&gt;10,$B$5&gt;9),IF(-LN(INDEX(consMat,$S67,AC$62))*LN(INDEX(consMat,$S67,10)*INDEX(consMat,10,AC$62))&gt;0,1,0))) )</f>
        <v>0</v>
      </c>
      <c r="AL67" s="122"/>
    </row>
    <row r="68" customFormat="false" ht="12.8" hidden="true" customHeight="false" outlineLevel="1" collapsed="false">
      <c r="A68" s="177"/>
      <c r="B68" s="174" t="n">
        <v>5</v>
      </c>
      <c r="C68" s="175" t="n">
        <f aca="false">IF(B68&lt;=$B$7,TRANSPOSE(RGGM5),)</f>
        <v>0</v>
      </c>
      <c r="D68" s="175" t="n">
        <v>0</v>
      </c>
      <c r="E68" s="175" t="n">
        <v>0</v>
      </c>
      <c r="F68" s="175" t="n">
        <v>0</v>
      </c>
      <c r="G68" s="175" t="n">
        <v>0</v>
      </c>
      <c r="H68" s="175" t="n">
        <v>0</v>
      </c>
      <c r="I68" s="175" t="n">
        <v>0</v>
      </c>
      <c r="J68" s="175" t="n">
        <v>0</v>
      </c>
      <c r="K68" s="175" t="n">
        <v>0</v>
      </c>
      <c r="L68" s="175" t="n">
        <v>0</v>
      </c>
      <c r="M68" s="174"/>
      <c r="N68" s="108"/>
      <c r="O68" s="168"/>
      <c r="P68" s="108"/>
      <c r="S68" s="170" t="n">
        <v>6</v>
      </c>
      <c r="T68" s="148"/>
      <c r="U68" s="148"/>
      <c r="V68" s="148"/>
      <c r="W68" s="148"/>
      <c r="X68" s="148"/>
      <c r="Y68" s="142"/>
      <c r="Z68" s="143" t="n">
        <f aca="false">IF(OR($S68&gt;$B$5,Z$62&gt;$B$5),0, 1/($B$5-2)*(   IF(AND($S68&lt;&gt;1,Z$62&lt;&gt;1, $B$5&gt;0),IF(-LN(INDEX(consMat,$S68,Z$62))*LN(INDEX(consMat,$S68,1)*INDEX(consMat,1,Z$62))&gt;0,1,0),0) +IF(AND($S68&lt;&gt;2,Z$62&lt;&gt;2,$B$5&gt;1),IF(-LN(INDEX(consMat,$S68,Z$62))*LN(INDEX(consMat,$S68,2)*INDEX(consMat,2,Z$62))&gt;0,1,0),0) +IF(AND($S68&lt;&gt;3,Z$62&lt;&gt;3,$B$5&gt;2),IF(-LN(INDEX(consMat,$S68,Z$62))*LN(INDEX(consMat,$S68,3)*INDEX(consMat,3,Z$62))&gt;0,1,0),0) +IF(AND($S68&lt;&gt;4,Z$62&lt;&gt;4,$B$5&gt;3),IF(-LN(INDEX(consMat,$S68,Z$62))*LN(INDEX(consMat,$S68,4)*INDEX(consMat,4,Z$62))&gt;0,1,0),0) +IF(AND($S68&lt;&gt;5,Z$62&lt;&gt;5,$B$5&gt;4),IF(-LN(INDEX(consMat,$S68,Z$62))*LN(INDEX(consMat,$S68,5)*INDEX(consMat,5,Z$62))&gt;0,1,0),0) +IF(AND($S68&lt;&gt;6,Z$62&lt;&gt;6,$B$5&gt;5),IF(-LN(INDEX(consMat,$S68,Z$62))*LN(INDEX(consMat,$S68,6)*INDEX(consMat,6,Z$62))&gt;0,1,0),0) +IF(AND($S68&lt;&gt;7,Z$62&lt;&gt;7,$B$5&gt;6),IF(-LN(INDEX(consMat,$S68,Z$62))*LN(INDEX(consMat,$S68,7)*INDEX(consMat,7,Z$62))&gt;0,1,0),0) +IF(AND($S68&lt;&gt;8,Z$62&lt;&gt;8,$B$5&gt;7),IF(-LN(INDEX(consMat,$S68,Z$62))*LN(INDEX(consMat,$S68,8)*INDEX(consMat,8,Z$62))&gt;0,1,0),0) +IF(AND($S68&lt;&gt;9,Z$62&lt;&gt;9,$B$5&gt;8),IF(-LN(INDEX(consMat,$S68,Z$62))*LN(INDEX(consMat,$S68,9)*INDEX(consMat,9,Z$62))&gt;0,1,0),0) +IF(AND($S68&lt;&gt;10,Z$62&lt;&gt;10,$B$5&gt;9),IF(-LN(INDEX(consMat,$S68,Z$62))*LN(INDEX(consMat,$S68,10)*INDEX(consMat,10,Z$62))&gt;0,1,0))) )</f>
        <v>0</v>
      </c>
      <c r="AA68" s="143" t="n">
        <f aca="false">IF(OR($S68&gt;$B$5,AA$62&gt;$B$5),0, 1/($B$5-2)*(   IF(AND($S68&lt;&gt;1,AA$62&lt;&gt;1, $B$5&gt;0),IF(-LN(INDEX(consMat,$S68,AA$62))*LN(INDEX(consMat,$S68,1)*INDEX(consMat,1,AA$62))&gt;0,1,0),0) +IF(AND($S68&lt;&gt;2,AA$62&lt;&gt;2,$B$5&gt;1),IF(-LN(INDEX(consMat,$S68,AA$62))*LN(INDEX(consMat,$S68,2)*INDEX(consMat,2,AA$62))&gt;0,1,0),0) +IF(AND($S68&lt;&gt;3,AA$62&lt;&gt;3,$B$5&gt;2),IF(-LN(INDEX(consMat,$S68,AA$62))*LN(INDEX(consMat,$S68,3)*INDEX(consMat,3,AA$62))&gt;0,1,0),0) +IF(AND($S68&lt;&gt;4,AA$62&lt;&gt;4,$B$5&gt;3),IF(-LN(INDEX(consMat,$S68,AA$62))*LN(INDEX(consMat,$S68,4)*INDEX(consMat,4,AA$62))&gt;0,1,0),0) +IF(AND($S68&lt;&gt;5,AA$62&lt;&gt;5,$B$5&gt;4),IF(-LN(INDEX(consMat,$S68,AA$62))*LN(INDEX(consMat,$S68,5)*INDEX(consMat,5,AA$62))&gt;0,1,0),0) +IF(AND($S68&lt;&gt;6,AA$62&lt;&gt;6,$B$5&gt;5),IF(-LN(INDEX(consMat,$S68,AA$62))*LN(INDEX(consMat,$S68,6)*INDEX(consMat,6,AA$62))&gt;0,1,0),0) +IF(AND($S68&lt;&gt;7,AA$62&lt;&gt;7,$B$5&gt;6),IF(-LN(INDEX(consMat,$S68,AA$62))*LN(INDEX(consMat,$S68,7)*INDEX(consMat,7,AA$62))&gt;0,1,0),0) +IF(AND($S68&lt;&gt;8,AA$62&lt;&gt;8,$B$5&gt;7),IF(-LN(INDEX(consMat,$S68,AA$62))*LN(INDEX(consMat,$S68,8)*INDEX(consMat,8,AA$62))&gt;0,1,0),0) +IF(AND($S68&lt;&gt;9,AA$62&lt;&gt;9,$B$5&gt;8),IF(-LN(INDEX(consMat,$S68,AA$62))*LN(INDEX(consMat,$S68,9)*INDEX(consMat,9,AA$62))&gt;0,1,0),0) +IF(AND($S68&lt;&gt;10,AA$62&lt;&gt;10,$B$5&gt;9),IF(-LN(INDEX(consMat,$S68,AA$62))*LN(INDEX(consMat,$S68,10)*INDEX(consMat,10,AA$62))&gt;0,1,0))) )</f>
        <v>0</v>
      </c>
      <c r="AB68" s="143" t="n">
        <f aca="false">IF(OR($S68&gt;$B$5,AB$62&gt;$B$5),0, 1/($B$5-2)*(   IF(AND($S68&lt;&gt;1,AB$62&lt;&gt;1, $B$5&gt;0),IF(-LN(INDEX(consMat,$S68,AB$62))*LN(INDEX(consMat,$S68,1)*INDEX(consMat,1,AB$62))&gt;0,1,0),0) +IF(AND($S68&lt;&gt;2,AB$62&lt;&gt;2,$B$5&gt;1),IF(-LN(INDEX(consMat,$S68,AB$62))*LN(INDEX(consMat,$S68,2)*INDEX(consMat,2,AB$62))&gt;0,1,0),0) +IF(AND($S68&lt;&gt;3,AB$62&lt;&gt;3,$B$5&gt;2),IF(-LN(INDEX(consMat,$S68,AB$62))*LN(INDEX(consMat,$S68,3)*INDEX(consMat,3,AB$62))&gt;0,1,0),0) +IF(AND($S68&lt;&gt;4,AB$62&lt;&gt;4,$B$5&gt;3),IF(-LN(INDEX(consMat,$S68,AB$62))*LN(INDEX(consMat,$S68,4)*INDEX(consMat,4,AB$62))&gt;0,1,0),0) +IF(AND($S68&lt;&gt;5,AB$62&lt;&gt;5,$B$5&gt;4),IF(-LN(INDEX(consMat,$S68,AB$62))*LN(INDEX(consMat,$S68,5)*INDEX(consMat,5,AB$62))&gt;0,1,0),0) +IF(AND($S68&lt;&gt;6,AB$62&lt;&gt;6,$B$5&gt;5),IF(-LN(INDEX(consMat,$S68,AB$62))*LN(INDEX(consMat,$S68,6)*INDEX(consMat,6,AB$62))&gt;0,1,0),0) +IF(AND($S68&lt;&gt;7,AB$62&lt;&gt;7,$B$5&gt;6),IF(-LN(INDEX(consMat,$S68,AB$62))*LN(INDEX(consMat,$S68,7)*INDEX(consMat,7,AB$62))&gt;0,1,0),0) +IF(AND($S68&lt;&gt;8,AB$62&lt;&gt;8,$B$5&gt;7),IF(-LN(INDEX(consMat,$S68,AB$62))*LN(INDEX(consMat,$S68,8)*INDEX(consMat,8,AB$62))&gt;0,1,0),0) +IF(AND($S68&lt;&gt;9,AB$62&lt;&gt;9,$B$5&gt;8),IF(-LN(INDEX(consMat,$S68,AB$62))*LN(INDEX(consMat,$S68,9)*INDEX(consMat,9,AB$62))&gt;0,1,0),0) +IF(AND($S68&lt;&gt;10,AB$62&lt;&gt;10,$B$5&gt;9),IF(-LN(INDEX(consMat,$S68,AB$62))*LN(INDEX(consMat,$S68,10)*INDEX(consMat,10,AB$62))&gt;0,1,0))) )</f>
        <v>0</v>
      </c>
      <c r="AC68" s="143" t="n">
        <f aca="false">IF(OR($S68&gt;$B$5,AC$62&gt;$B$5),0, 1/($B$5-2)*(   IF(AND($S68&lt;&gt;1,AC$62&lt;&gt;1, $B$5&gt;0),IF(-LN(INDEX(consMat,$S68,AC$62))*LN(INDEX(consMat,$S68,1)*INDEX(consMat,1,AC$62))&gt;0,1,0),0) +IF(AND($S68&lt;&gt;2,AC$62&lt;&gt;2,$B$5&gt;1),IF(-LN(INDEX(consMat,$S68,AC$62))*LN(INDEX(consMat,$S68,2)*INDEX(consMat,2,AC$62))&gt;0,1,0),0) +IF(AND($S68&lt;&gt;3,AC$62&lt;&gt;3,$B$5&gt;2),IF(-LN(INDEX(consMat,$S68,AC$62))*LN(INDEX(consMat,$S68,3)*INDEX(consMat,3,AC$62))&gt;0,1,0),0) +IF(AND($S68&lt;&gt;4,AC$62&lt;&gt;4,$B$5&gt;3),IF(-LN(INDEX(consMat,$S68,AC$62))*LN(INDEX(consMat,$S68,4)*INDEX(consMat,4,AC$62))&gt;0,1,0),0) +IF(AND($S68&lt;&gt;5,AC$62&lt;&gt;5,$B$5&gt;4),IF(-LN(INDEX(consMat,$S68,AC$62))*LN(INDEX(consMat,$S68,5)*INDEX(consMat,5,AC$62))&gt;0,1,0),0) +IF(AND($S68&lt;&gt;6,AC$62&lt;&gt;6,$B$5&gt;5),IF(-LN(INDEX(consMat,$S68,AC$62))*LN(INDEX(consMat,$S68,6)*INDEX(consMat,6,AC$62))&gt;0,1,0),0) +IF(AND($S68&lt;&gt;7,AC$62&lt;&gt;7,$B$5&gt;6),IF(-LN(INDEX(consMat,$S68,AC$62))*LN(INDEX(consMat,$S68,7)*INDEX(consMat,7,AC$62))&gt;0,1,0),0) +IF(AND($S68&lt;&gt;8,AC$62&lt;&gt;8,$B$5&gt;7),IF(-LN(INDEX(consMat,$S68,AC$62))*LN(INDEX(consMat,$S68,8)*INDEX(consMat,8,AC$62))&gt;0,1,0),0) +IF(AND($S68&lt;&gt;9,AC$62&lt;&gt;9,$B$5&gt;8),IF(-LN(INDEX(consMat,$S68,AC$62))*LN(INDEX(consMat,$S68,9)*INDEX(consMat,9,AC$62))&gt;0,1,0),0) +IF(AND($S68&lt;&gt;10,AC$62&lt;&gt;10,$B$5&gt;9),IF(-LN(INDEX(consMat,$S68,AC$62))*LN(INDEX(consMat,$S68,10)*INDEX(consMat,10,AC$62))&gt;0,1,0))) )</f>
        <v>0</v>
      </c>
      <c r="AL68" s="122"/>
    </row>
    <row r="69" customFormat="false" ht="12.8" hidden="true" customHeight="false" outlineLevel="1" collapsed="false">
      <c r="A69" s="177"/>
      <c r="B69" s="174" t="n">
        <v>6</v>
      </c>
      <c r="C69" s="175" t="n">
        <f aca="false">IF(B69&lt;=$B$7,TRANSPOSE(RGGM6),)</f>
        <v>0</v>
      </c>
      <c r="D69" s="175" t="n">
        <v>0</v>
      </c>
      <c r="E69" s="175" t="n">
        <v>0</v>
      </c>
      <c r="F69" s="175" t="n">
        <v>0</v>
      </c>
      <c r="G69" s="175" t="n">
        <v>0</v>
      </c>
      <c r="H69" s="175" t="n">
        <v>0</v>
      </c>
      <c r="I69" s="175" t="n">
        <v>0</v>
      </c>
      <c r="J69" s="175" t="n">
        <v>0</v>
      </c>
      <c r="K69" s="175" t="n">
        <v>0</v>
      </c>
      <c r="L69" s="175" t="n">
        <v>0</v>
      </c>
      <c r="M69" s="174"/>
      <c r="N69" s="108"/>
      <c r="O69" s="168"/>
      <c r="P69" s="108"/>
      <c r="S69" s="170" t="n">
        <v>7</v>
      </c>
      <c r="T69" s="148"/>
      <c r="U69" s="148"/>
      <c r="V69" s="148"/>
      <c r="W69" s="148"/>
      <c r="X69" s="148"/>
      <c r="Y69" s="148"/>
      <c r="Z69" s="142"/>
      <c r="AA69" s="143" t="n">
        <f aca="false">IF(OR($S69&gt;$B$5,AA$62&gt;$B$5),0, 1/($B$5-2)*(   IF(AND($S69&lt;&gt;1,AA$62&lt;&gt;1, $B$5&gt;0),IF(-LN(INDEX(consMat,$S69,AA$62))*LN(INDEX(consMat,$S69,1)*INDEX(consMat,1,AA$62))&gt;0,1,0),0) +IF(AND($S69&lt;&gt;2,AA$62&lt;&gt;2,$B$5&gt;1),IF(-LN(INDEX(consMat,$S69,AA$62))*LN(INDEX(consMat,$S69,2)*INDEX(consMat,2,AA$62))&gt;0,1,0),0) +IF(AND($S69&lt;&gt;3,AA$62&lt;&gt;3,$B$5&gt;2),IF(-LN(INDEX(consMat,$S69,AA$62))*LN(INDEX(consMat,$S69,3)*INDEX(consMat,3,AA$62))&gt;0,1,0),0) +IF(AND($S69&lt;&gt;4,AA$62&lt;&gt;4,$B$5&gt;3),IF(-LN(INDEX(consMat,$S69,AA$62))*LN(INDEX(consMat,$S69,4)*INDEX(consMat,4,AA$62))&gt;0,1,0),0) +IF(AND($S69&lt;&gt;5,AA$62&lt;&gt;5,$B$5&gt;4),IF(-LN(INDEX(consMat,$S69,AA$62))*LN(INDEX(consMat,$S69,5)*INDEX(consMat,5,AA$62))&gt;0,1,0),0) +IF(AND($S69&lt;&gt;6,AA$62&lt;&gt;6,$B$5&gt;5),IF(-LN(INDEX(consMat,$S69,AA$62))*LN(INDEX(consMat,$S69,6)*INDEX(consMat,6,AA$62))&gt;0,1,0),0) +IF(AND($S69&lt;&gt;7,AA$62&lt;&gt;7,$B$5&gt;6),IF(-LN(INDEX(consMat,$S69,AA$62))*LN(INDEX(consMat,$S69,7)*INDEX(consMat,7,AA$62))&gt;0,1,0),0) +IF(AND($S69&lt;&gt;8,AA$62&lt;&gt;8,$B$5&gt;7),IF(-LN(INDEX(consMat,$S69,AA$62))*LN(INDEX(consMat,$S69,8)*INDEX(consMat,8,AA$62))&gt;0,1,0),0) +IF(AND($S69&lt;&gt;9,AA$62&lt;&gt;9,$B$5&gt;8),IF(-LN(INDEX(consMat,$S69,AA$62))*LN(INDEX(consMat,$S69,9)*INDEX(consMat,9,AA$62))&gt;0,1,0),0) +IF(AND($S69&lt;&gt;10,AA$62&lt;&gt;10,$B$5&gt;9),IF(-LN(INDEX(consMat,$S69,AA$62))*LN(INDEX(consMat,$S69,10)*INDEX(consMat,10,AA$62))&gt;0,1,0))) )</f>
        <v>0</v>
      </c>
      <c r="AB69" s="143" t="n">
        <f aca="false">IF(OR($S69&gt;$B$5,AB$62&gt;$B$5),0, 1/($B$5-2)*(   IF(AND($S69&lt;&gt;1,AB$62&lt;&gt;1, $B$5&gt;0),IF(-LN(INDEX(consMat,$S69,AB$62))*LN(INDEX(consMat,$S69,1)*INDEX(consMat,1,AB$62))&gt;0,1,0),0) +IF(AND($S69&lt;&gt;2,AB$62&lt;&gt;2,$B$5&gt;1),IF(-LN(INDEX(consMat,$S69,AB$62))*LN(INDEX(consMat,$S69,2)*INDEX(consMat,2,AB$62))&gt;0,1,0),0) +IF(AND($S69&lt;&gt;3,AB$62&lt;&gt;3,$B$5&gt;2),IF(-LN(INDEX(consMat,$S69,AB$62))*LN(INDEX(consMat,$S69,3)*INDEX(consMat,3,AB$62))&gt;0,1,0),0) +IF(AND($S69&lt;&gt;4,AB$62&lt;&gt;4,$B$5&gt;3),IF(-LN(INDEX(consMat,$S69,AB$62))*LN(INDEX(consMat,$S69,4)*INDEX(consMat,4,AB$62))&gt;0,1,0),0) +IF(AND($S69&lt;&gt;5,AB$62&lt;&gt;5,$B$5&gt;4),IF(-LN(INDEX(consMat,$S69,AB$62))*LN(INDEX(consMat,$S69,5)*INDEX(consMat,5,AB$62))&gt;0,1,0),0) +IF(AND($S69&lt;&gt;6,AB$62&lt;&gt;6,$B$5&gt;5),IF(-LN(INDEX(consMat,$S69,AB$62))*LN(INDEX(consMat,$S69,6)*INDEX(consMat,6,AB$62))&gt;0,1,0),0) +IF(AND($S69&lt;&gt;7,AB$62&lt;&gt;7,$B$5&gt;6),IF(-LN(INDEX(consMat,$S69,AB$62))*LN(INDEX(consMat,$S69,7)*INDEX(consMat,7,AB$62))&gt;0,1,0),0) +IF(AND($S69&lt;&gt;8,AB$62&lt;&gt;8,$B$5&gt;7),IF(-LN(INDEX(consMat,$S69,AB$62))*LN(INDEX(consMat,$S69,8)*INDEX(consMat,8,AB$62))&gt;0,1,0),0) +IF(AND($S69&lt;&gt;9,AB$62&lt;&gt;9,$B$5&gt;8),IF(-LN(INDEX(consMat,$S69,AB$62))*LN(INDEX(consMat,$S69,9)*INDEX(consMat,9,AB$62))&gt;0,1,0),0) +IF(AND($S69&lt;&gt;10,AB$62&lt;&gt;10,$B$5&gt;9),IF(-LN(INDEX(consMat,$S69,AB$62))*LN(INDEX(consMat,$S69,10)*INDEX(consMat,10,AB$62))&gt;0,1,0))) )</f>
        <v>0</v>
      </c>
      <c r="AC69" s="143" t="n">
        <f aca="false">IF(OR($S69&gt;$B$5,AC$62&gt;$B$5),0, 1/($B$5-2)*(   IF(AND($S69&lt;&gt;1,AC$62&lt;&gt;1, $B$5&gt;0),IF(-LN(INDEX(consMat,$S69,AC$62))*LN(INDEX(consMat,$S69,1)*INDEX(consMat,1,AC$62))&gt;0,1,0),0) +IF(AND($S69&lt;&gt;2,AC$62&lt;&gt;2,$B$5&gt;1),IF(-LN(INDEX(consMat,$S69,AC$62))*LN(INDEX(consMat,$S69,2)*INDEX(consMat,2,AC$62))&gt;0,1,0),0) +IF(AND($S69&lt;&gt;3,AC$62&lt;&gt;3,$B$5&gt;2),IF(-LN(INDEX(consMat,$S69,AC$62))*LN(INDEX(consMat,$S69,3)*INDEX(consMat,3,AC$62))&gt;0,1,0),0) +IF(AND($S69&lt;&gt;4,AC$62&lt;&gt;4,$B$5&gt;3),IF(-LN(INDEX(consMat,$S69,AC$62))*LN(INDEX(consMat,$S69,4)*INDEX(consMat,4,AC$62))&gt;0,1,0),0) +IF(AND($S69&lt;&gt;5,AC$62&lt;&gt;5,$B$5&gt;4),IF(-LN(INDEX(consMat,$S69,AC$62))*LN(INDEX(consMat,$S69,5)*INDEX(consMat,5,AC$62))&gt;0,1,0),0) +IF(AND($S69&lt;&gt;6,AC$62&lt;&gt;6,$B$5&gt;5),IF(-LN(INDEX(consMat,$S69,AC$62))*LN(INDEX(consMat,$S69,6)*INDEX(consMat,6,AC$62))&gt;0,1,0),0) +IF(AND($S69&lt;&gt;7,AC$62&lt;&gt;7,$B$5&gt;6),IF(-LN(INDEX(consMat,$S69,AC$62))*LN(INDEX(consMat,$S69,7)*INDEX(consMat,7,AC$62))&gt;0,1,0),0) +IF(AND($S69&lt;&gt;8,AC$62&lt;&gt;8,$B$5&gt;7),IF(-LN(INDEX(consMat,$S69,AC$62))*LN(INDEX(consMat,$S69,8)*INDEX(consMat,8,AC$62))&gt;0,1,0),0) +IF(AND($S69&lt;&gt;9,AC$62&lt;&gt;9,$B$5&gt;8),IF(-LN(INDEX(consMat,$S69,AC$62))*LN(INDEX(consMat,$S69,9)*INDEX(consMat,9,AC$62))&gt;0,1,0),0) +IF(AND($S69&lt;&gt;10,AC$62&lt;&gt;10,$B$5&gt;9),IF(-LN(INDEX(consMat,$S69,AC$62))*LN(INDEX(consMat,$S69,10)*INDEX(consMat,10,AC$62))&gt;0,1,0))) )</f>
        <v>0</v>
      </c>
      <c r="AL69" s="122"/>
    </row>
    <row r="70" customFormat="false" ht="12.8" hidden="true" customHeight="false" outlineLevel="1" collapsed="false">
      <c r="A70" s="177"/>
      <c r="B70" s="174" t="n">
        <v>7</v>
      </c>
      <c r="C70" s="175" t="n">
        <f aca="false">IF(B70&lt;=$B$7,TRANSPOSE(RGGM7),)</f>
        <v>0</v>
      </c>
      <c r="D70" s="175" t="n">
        <v>0</v>
      </c>
      <c r="E70" s="175" t="n">
        <v>0</v>
      </c>
      <c r="F70" s="175" t="n">
        <v>0</v>
      </c>
      <c r="G70" s="175" t="n">
        <v>0</v>
      </c>
      <c r="H70" s="175" t="n">
        <v>0</v>
      </c>
      <c r="I70" s="175" t="n">
        <v>0</v>
      </c>
      <c r="J70" s="175" t="n">
        <v>0</v>
      </c>
      <c r="K70" s="175" t="n">
        <v>0</v>
      </c>
      <c r="L70" s="175" t="n">
        <v>0</v>
      </c>
      <c r="M70" s="174"/>
      <c r="N70" s="108"/>
      <c r="O70" s="168"/>
      <c r="P70" s="108"/>
      <c r="S70" s="170" t="n">
        <v>8</v>
      </c>
      <c r="T70" s="148"/>
      <c r="U70" s="148"/>
      <c r="V70" s="148"/>
      <c r="W70" s="148"/>
      <c r="X70" s="148"/>
      <c r="Y70" s="148"/>
      <c r="Z70" s="148"/>
      <c r="AA70" s="142"/>
      <c r="AB70" s="143" t="n">
        <f aca="false">IF(OR($S70&gt;$B$5,AB$62&gt;$B$5),0, 1/($B$5-2)*(   IF(AND($S70&lt;&gt;1,AB$62&lt;&gt;1, $B$5&gt;0),IF(-LN(INDEX(consMat,$S70,AB$62))*LN(INDEX(consMat,$S70,1)*INDEX(consMat,1,AB$62))&gt;0,1,0),0) +IF(AND($S70&lt;&gt;2,AB$62&lt;&gt;2,$B$5&gt;1),IF(-LN(INDEX(consMat,$S70,AB$62))*LN(INDEX(consMat,$S70,2)*INDEX(consMat,2,AB$62))&gt;0,1,0),0) +IF(AND($S70&lt;&gt;3,AB$62&lt;&gt;3,$B$5&gt;2),IF(-LN(INDEX(consMat,$S70,AB$62))*LN(INDEX(consMat,$S70,3)*INDEX(consMat,3,AB$62))&gt;0,1,0),0) +IF(AND($S70&lt;&gt;4,AB$62&lt;&gt;4,$B$5&gt;3),IF(-LN(INDEX(consMat,$S70,AB$62))*LN(INDEX(consMat,$S70,4)*INDEX(consMat,4,AB$62))&gt;0,1,0),0) +IF(AND($S70&lt;&gt;5,AB$62&lt;&gt;5,$B$5&gt;4),IF(-LN(INDEX(consMat,$S70,AB$62))*LN(INDEX(consMat,$S70,5)*INDEX(consMat,5,AB$62))&gt;0,1,0),0) +IF(AND($S70&lt;&gt;6,AB$62&lt;&gt;6,$B$5&gt;5),IF(-LN(INDEX(consMat,$S70,AB$62))*LN(INDEX(consMat,$S70,6)*INDEX(consMat,6,AB$62))&gt;0,1,0),0) +IF(AND($S70&lt;&gt;7,AB$62&lt;&gt;7,$B$5&gt;6),IF(-LN(INDEX(consMat,$S70,AB$62))*LN(INDEX(consMat,$S70,7)*INDEX(consMat,7,AB$62))&gt;0,1,0),0) +IF(AND($S70&lt;&gt;8,AB$62&lt;&gt;8,$B$5&gt;7),IF(-LN(INDEX(consMat,$S70,AB$62))*LN(INDEX(consMat,$S70,8)*INDEX(consMat,8,AB$62))&gt;0,1,0),0) +IF(AND($S70&lt;&gt;9,AB$62&lt;&gt;9,$B$5&gt;8),IF(-LN(INDEX(consMat,$S70,AB$62))*LN(INDEX(consMat,$S70,9)*INDEX(consMat,9,AB$62))&gt;0,1,0),0) +IF(AND($S70&lt;&gt;10,AB$62&lt;&gt;10,$B$5&gt;9),IF(-LN(INDEX(consMat,$S70,AB$62))*LN(INDEX(consMat,$S70,10)*INDEX(consMat,10,AB$62))&gt;0,1,0))) )</f>
        <v>0</v>
      </c>
      <c r="AC70" s="143" t="n">
        <f aca="false">IF(OR($S70&gt;$B$5,AC$62&gt;$B$5),0, 1/($B$5-2)*(   IF(AND($S70&lt;&gt;1,AC$62&lt;&gt;1, $B$5&gt;0),IF(-LN(INDEX(consMat,$S70,AC$62))*LN(INDEX(consMat,$S70,1)*INDEX(consMat,1,AC$62))&gt;0,1,0),0) +IF(AND($S70&lt;&gt;2,AC$62&lt;&gt;2,$B$5&gt;1),IF(-LN(INDEX(consMat,$S70,AC$62))*LN(INDEX(consMat,$S70,2)*INDEX(consMat,2,AC$62))&gt;0,1,0),0) +IF(AND($S70&lt;&gt;3,AC$62&lt;&gt;3,$B$5&gt;2),IF(-LN(INDEX(consMat,$S70,AC$62))*LN(INDEX(consMat,$S70,3)*INDEX(consMat,3,AC$62))&gt;0,1,0),0) +IF(AND($S70&lt;&gt;4,AC$62&lt;&gt;4,$B$5&gt;3),IF(-LN(INDEX(consMat,$S70,AC$62))*LN(INDEX(consMat,$S70,4)*INDEX(consMat,4,AC$62))&gt;0,1,0),0) +IF(AND($S70&lt;&gt;5,AC$62&lt;&gt;5,$B$5&gt;4),IF(-LN(INDEX(consMat,$S70,AC$62))*LN(INDEX(consMat,$S70,5)*INDEX(consMat,5,AC$62))&gt;0,1,0),0) +IF(AND($S70&lt;&gt;6,AC$62&lt;&gt;6,$B$5&gt;5),IF(-LN(INDEX(consMat,$S70,AC$62))*LN(INDEX(consMat,$S70,6)*INDEX(consMat,6,AC$62))&gt;0,1,0),0) +IF(AND($S70&lt;&gt;7,AC$62&lt;&gt;7,$B$5&gt;6),IF(-LN(INDEX(consMat,$S70,AC$62))*LN(INDEX(consMat,$S70,7)*INDEX(consMat,7,AC$62))&gt;0,1,0),0) +IF(AND($S70&lt;&gt;8,AC$62&lt;&gt;8,$B$5&gt;7),IF(-LN(INDEX(consMat,$S70,AC$62))*LN(INDEX(consMat,$S70,8)*INDEX(consMat,8,AC$62))&gt;0,1,0),0) +IF(AND($S70&lt;&gt;9,AC$62&lt;&gt;9,$B$5&gt;8),IF(-LN(INDEX(consMat,$S70,AC$62))*LN(INDEX(consMat,$S70,9)*INDEX(consMat,9,AC$62))&gt;0,1,0),0) +IF(AND($S70&lt;&gt;10,AC$62&lt;&gt;10,$B$5&gt;9),IF(-LN(INDEX(consMat,$S70,AC$62))*LN(INDEX(consMat,$S70,10)*INDEX(consMat,10,AC$62))&gt;0,1,0))) )</f>
        <v>0</v>
      </c>
      <c r="AL70" s="122"/>
    </row>
    <row r="71" customFormat="false" ht="12.8" hidden="true" customHeight="false" outlineLevel="1" collapsed="false">
      <c r="A71" s="177"/>
      <c r="B71" s="174" t="n">
        <v>8</v>
      </c>
      <c r="C71" s="175" t="n">
        <f aca="false">IF(B71&lt;=$B$7,TRANSPOSE(RGGM8),)</f>
        <v>0</v>
      </c>
      <c r="D71" s="175" t="n">
        <v>0</v>
      </c>
      <c r="E71" s="175" t="n">
        <v>0</v>
      </c>
      <c r="F71" s="175" t="n">
        <v>0</v>
      </c>
      <c r="G71" s="175" t="n">
        <v>0</v>
      </c>
      <c r="H71" s="175" t="n">
        <v>0</v>
      </c>
      <c r="I71" s="175" t="n">
        <v>0</v>
      </c>
      <c r="J71" s="175" t="n">
        <v>0</v>
      </c>
      <c r="K71" s="175" t="n">
        <v>0</v>
      </c>
      <c r="L71" s="175" t="n">
        <v>0</v>
      </c>
      <c r="M71" s="174"/>
      <c r="N71" s="108"/>
      <c r="O71" s="168"/>
      <c r="P71" s="108"/>
      <c r="S71" s="170" t="n">
        <v>9</v>
      </c>
      <c r="T71" s="148"/>
      <c r="U71" s="148"/>
      <c r="V71" s="148"/>
      <c r="W71" s="148"/>
      <c r="X71" s="148"/>
      <c r="Y71" s="148"/>
      <c r="Z71" s="148"/>
      <c r="AA71" s="148"/>
      <c r="AB71" s="142"/>
      <c r="AC71" s="143" t="n">
        <f aca="false">IF(OR($S71&gt;$B$5,AC$62&gt;$B$5),0, 1/($B$5-2)*(   IF(AND($S71&lt;&gt;1,AC$62&lt;&gt;1, $B$5&gt;0),IF(-LN(INDEX(consMat,$S71,AC$62))*LN(INDEX(consMat,$S71,1)*INDEX(consMat,1,AC$62))&gt;0,1,0),0) +IF(AND($S71&lt;&gt;2,AC$62&lt;&gt;2,$B$5&gt;1),IF(-LN(INDEX(consMat,$S71,AC$62))*LN(INDEX(consMat,$S71,2)*INDEX(consMat,2,AC$62))&gt;0,1,0),0) +IF(AND($S71&lt;&gt;3,AC$62&lt;&gt;3,$B$5&gt;2),IF(-LN(INDEX(consMat,$S71,AC$62))*LN(INDEX(consMat,$S71,3)*INDEX(consMat,3,AC$62))&gt;0,1,0),0) +IF(AND($S71&lt;&gt;4,AC$62&lt;&gt;4,$B$5&gt;3),IF(-LN(INDEX(consMat,$S71,AC$62))*LN(INDEX(consMat,$S71,4)*INDEX(consMat,4,AC$62))&gt;0,1,0),0) +IF(AND($S71&lt;&gt;5,AC$62&lt;&gt;5,$B$5&gt;4),IF(-LN(INDEX(consMat,$S71,AC$62))*LN(INDEX(consMat,$S71,5)*INDEX(consMat,5,AC$62))&gt;0,1,0),0) +IF(AND($S71&lt;&gt;6,AC$62&lt;&gt;6,$B$5&gt;5),IF(-LN(INDEX(consMat,$S71,AC$62))*LN(INDEX(consMat,$S71,6)*INDEX(consMat,6,AC$62))&gt;0,1,0),0) +IF(AND($S71&lt;&gt;7,AC$62&lt;&gt;7,$B$5&gt;6),IF(-LN(INDEX(consMat,$S71,AC$62))*LN(INDEX(consMat,$S71,7)*INDEX(consMat,7,AC$62))&gt;0,1,0),0) +IF(AND($S71&lt;&gt;8,AC$62&lt;&gt;8,$B$5&gt;7),IF(-LN(INDEX(consMat,$S71,AC$62))*LN(INDEX(consMat,$S71,8)*INDEX(consMat,8,AC$62))&gt;0,1,0),0) +IF(AND($S71&lt;&gt;9,AC$62&lt;&gt;9,$B$5&gt;8),IF(-LN(INDEX(consMat,$S71,AC$62))*LN(INDEX(consMat,$S71,9)*INDEX(consMat,9,AC$62))&gt;0,1,0),0) +IF(AND($S71&lt;&gt;10,AC$62&lt;&gt;10,$B$5&gt;9),IF(-LN(INDEX(consMat,$S71,AC$62))*LN(INDEX(consMat,$S71,10)*INDEX(consMat,10,AC$62))&gt;0,1,0))) )</f>
        <v>0</v>
      </c>
      <c r="AL71" s="122"/>
    </row>
    <row r="72" customFormat="false" ht="12.75" hidden="true" customHeight="false" outlineLevel="1" collapsed="false">
      <c r="A72" s="177"/>
      <c r="B72" s="174" t="n">
        <v>9</v>
      </c>
      <c r="C72" s="175" t="n">
        <f aca="false">IF(B72&lt;=$B$7,TRANSPOSE(RGGM9),)</f>
        <v>0</v>
      </c>
      <c r="D72" s="175" t="n">
        <v>0</v>
      </c>
      <c r="E72" s="175" t="n">
        <v>0</v>
      </c>
      <c r="F72" s="175" t="n">
        <v>0</v>
      </c>
      <c r="G72" s="175" t="n">
        <v>0</v>
      </c>
      <c r="H72" s="175" t="n">
        <v>0</v>
      </c>
      <c r="I72" s="175" t="n">
        <v>0</v>
      </c>
      <c r="J72" s="175" t="n">
        <v>0</v>
      </c>
      <c r="K72" s="175" t="n">
        <v>0</v>
      </c>
      <c r="L72" s="175" t="n">
        <v>0</v>
      </c>
      <c r="M72" s="174"/>
      <c r="N72" s="108"/>
      <c r="O72" s="168"/>
      <c r="P72" s="108"/>
      <c r="S72" s="170" t="n">
        <v>10</v>
      </c>
      <c r="T72" s="148"/>
      <c r="U72" s="148"/>
      <c r="V72" s="148"/>
      <c r="W72" s="148"/>
      <c r="X72" s="148"/>
      <c r="Y72" s="148"/>
      <c r="Z72" s="148"/>
      <c r="AA72" s="148"/>
      <c r="AB72" s="148"/>
      <c r="AC72" s="142"/>
      <c r="AL72" s="122"/>
    </row>
    <row r="73" customFormat="false" ht="12.75" hidden="true" customHeight="false" outlineLevel="1" collapsed="false">
      <c r="A73" s="177"/>
      <c r="B73" s="174" t="n">
        <v>10</v>
      </c>
      <c r="C73" s="175" t="n">
        <f aca="false">IF(B73&lt;=$B$7,TRANSPOSE(RGGM10),)</f>
        <v>0</v>
      </c>
      <c r="D73" s="175" t="n">
        <v>0</v>
      </c>
      <c r="E73" s="175" t="n">
        <v>0</v>
      </c>
      <c r="F73" s="175" t="n">
        <v>0</v>
      </c>
      <c r="G73" s="175" t="n">
        <v>0</v>
      </c>
      <c r="H73" s="175" t="n">
        <v>0</v>
      </c>
      <c r="I73" s="175" t="n">
        <v>0</v>
      </c>
      <c r="J73" s="175" t="n">
        <v>0</v>
      </c>
      <c r="K73" s="175" t="n">
        <v>0</v>
      </c>
      <c r="L73" s="175" t="n">
        <v>0</v>
      </c>
      <c r="M73" s="174"/>
      <c r="N73" s="108"/>
      <c r="O73" s="168"/>
      <c r="P73" s="108"/>
      <c r="S73" s="59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59"/>
      <c r="AL73" s="122"/>
    </row>
    <row r="74" customFormat="false" ht="12.75" hidden="true" customHeight="false" outlineLevel="1" collapsed="false">
      <c r="A74" s="177"/>
      <c r="B74" s="174" t="n">
        <v>11</v>
      </c>
      <c r="C74" s="175" t="n">
        <f aca="false">IF(B74&lt;=$B$7,TRANSPOSE(RGGM11),)</f>
        <v>0</v>
      </c>
      <c r="D74" s="175" t="n">
        <v>0</v>
      </c>
      <c r="E74" s="175" t="n">
        <v>0</v>
      </c>
      <c r="F74" s="175" t="n">
        <v>0</v>
      </c>
      <c r="G74" s="175" t="n">
        <v>0</v>
      </c>
      <c r="H74" s="175" t="n">
        <v>0</v>
      </c>
      <c r="I74" s="175" t="n">
        <v>0</v>
      </c>
      <c r="J74" s="175" t="n">
        <v>0</v>
      </c>
      <c r="K74" s="175" t="n">
        <v>0</v>
      </c>
      <c r="L74" s="175" t="n">
        <v>0</v>
      </c>
      <c r="M74" s="174"/>
      <c r="N74" s="108"/>
      <c r="O74" s="168"/>
      <c r="P74" s="108"/>
      <c r="S74" s="179"/>
      <c r="T74" s="170"/>
      <c r="U74" s="170"/>
      <c r="V74" s="170"/>
      <c r="W74" s="170"/>
      <c r="X74" s="170"/>
      <c r="Y74" s="170"/>
      <c r="Z74" s="170"/>
      <c r="AA74" s="170"/>
      <c r="AB74" s="170"/>
      <c r="AC74" s="170"/>
      <c r="AD74" s="178"/>
      <c r="AL74" s="122"/>
    </row>
    <row r="75" customFormat="false" ht="12.75" hidden="true" customHeight="false" outlineLevel="1" collapsed="false">
      <c r="A75" s="177"/>
      <c r="B75" s="174" t="n">
        <v>12</v>
      </c>
      <c r="C75" s="175" t="n">
        <f aca="false">IF(B75&lt;=$B$7,TRANSPOSE(RGGM12),)</f>
        <v>0</v>
      </c>
      <c r="D75" s="175" t="n">
        <v>0</v>
      </c>
      <c r="E75" s="175" t="n">
        <v>0</v>
      </c>
      <c r="F75" s="175" t="n">
        <v>0</v>
      </c>
      <c r="G75" s="175" t="n">
        <v>0</v>
      </c>
      <c r="H75" s="175" t="n">
        <v>0</v>
      </c>
      <c r="I75" s="175" t="n">
        <v>0</v>
      </c>
      <c r="J75" s="175" t="n">
        <v>0</v>
      </c>
      <c r="K75" s="175" t="n">
        <v>0</v>
      </c>
      <c r="L75" s="175" t="n">
        <v>0</v>
      </c>
      <c r="M75" s="174"/>
      <c r="N75" s="108"/>
      <c r="O75" s="168"/>
      <c r="P75" s="108"/>
      <c r="S75" s="170"/>
      <c r="T75" s="159"/>
      <c r="U75" s="159"/>
      <c r="V75" s="159"/>
      <c r="W75" s="159"/>
      <c r="X75" s="159"/>
      <c r="Y75" s="159"/>
      <c r="Z75" s="159"/>
      <c r="AA75" s="159"/>
      <c r="AB75" s="159"/>
      <c r="AC75" s="159"/>
      <c r="AD75" s="178"/>
      <c r="AL75" s="122"/>
    </row>
    <row r="76" customFormat="false" ht="12.75" hidden="true" customHeight="false" outlineLevel="1" collapsed="false">
      <c r="A76" s="177"/>
      <c r="B76" s="174" t="n">
        <v>13</v>
      </c>
      <c r="C76" s="175" t="n">
        <f aca="false">IF(B76&lt;=$B$7,TRANSPOSE(RGGM13),)</f>
        <v>0</v>
      </c>
      <c r="D76" s="175" t="n">
        <v>0</v>
      </c>
      <c r="E76" s="175" t="n">
        <v>0</v>
      </c>
      <c r="F76" s="175" t="n">
        <v>0</v>
      </c>
      <c r="G76" s="175" t="n">
        <v>0</v>
      </c>
      <c r="H76" s="175" t="n">
        <v>0</v>
      </c>
      <c r="I76" s="175" t="n">
        <v>0</v>
      </c>
      <c r="J76" s="175" t="n">
        <v>0</v>
      </c>
      <c r="K76" s="175" t="n">
        <v>0</v>
      </c>
      <c r="L76" s="175" t="n">
        <v>0</v>
      </c>
      <c r="M76" s="174"/>
      <c r="N76" s="108"/>
      <c r="O76" s="168"/>
      <c r="P76" s="108"/>
      <c r="S76" s="170"/>
      <c r="T76" s="159"/>
      <c r="U76" s="159"/>
      <c r="V76" s="159"/>
      <c r="W76" s="159"/>
      <c r="X76" s="159"/>
      <c r="Y76" s="159"/>
      <c r="Z76" s="159"/>
      <c r="AA76" s="159"/>
      <c r="AB76" s="159"/>
      <c r="AC76" s="159"/>
      <c r="AD76" s="178"/>
      <c r="AL76" s="122"/>
    </row>
    <row r="77" customFormat="false" ht="12.75" hidden="true" customHeight="false" outlineLevel="1" collapsed="false">
      <c r="A77" s="177"/>
      <c r="B77" s="174" t="n">
        <v>14</v>
      </c>
      <c r="C77" s="175" t="n">
        <f aca="false">IF(B77&lt;=$B$7,TRANSPOSE(RGGM14),)</f>
        <v>0</v>
      </c>
      <c r="D77" s="175" t="n">
        <v>0</v>
      </c>
      <c r="E77" s="175" t="n">
        <v>0</v>
      </c>
      <c r="F77" s="175" t="n">
        <v>0</v>
      </c>
      <c r="G77" s="175" t="n">
        <v>0</v>
      </c>
      <c r="H77" s="175" t="n">
        <v>0</v>
      </c>
      <c r="I77" s="175" t="n">
        <v>0</v>
      </c>
      <c r="J77" s="175" t="n">
        <v>0</v>
      </c>
      <c r="K77" s="175" t="n">
        <v>0</v>
      </c>
      <c r="L77" s="175" t="n">
        <v>0</v>
      </c>
      <c r="M77" s="174"/>
      <c r="N77" s="108"/>
      <c r="O77" s="168"/>
      <c r="P77" s="108"/>
      <c r="S77" s="170"/>
      <c r="T77" s="159"/>
      <c r="U77" s="159"/>
      <c r="V77" s="159"/>
      <c r="W77" s="159"/>
      <c r="X77" s="159"/>
      <c r="Y77" s="159"/>
      <c r="Z77" s="159"/>
      <c r="AA77" s="159"/>
      <c r="AB77" s="159"/>
      <c r="AC77" s="159"/>
      <c r="AD77" s="178"/>
      <c r="AL77" s="122"/>
    </row>
    <row r="78" customFormat="false" ht="12.75" hidden="true" customHeight="false" outlineLevel="1" collapsed="false">
      <c r="A78" s="177"/>
      <c r="B78" s="174" t="n">
        <v>15</v>
      </c>
      <c r="C78" s="175" t="n">
        <f aca="false">IF(B78&lt;=$B$7,TRANSPOSE(RGGM15),)</f>
        <v>0</v>
      </c>
      <c r="D78" s="175" t="n">
        <v>0</v>
      </c>
      <c r="E78" s="175" t="n">
        <v>0</v>
      </c>
      <c r="F78" s="175" t="n">
        <v>0</v>
      </c>
      <c r="G78" s="175" t="n">
        <v>0</v>
      </c>
      <c r="H78" s="175" t="n">
        <v>0</v>
      </c>
      <c r="I78" s="175" t="n">
        <v>0</v>
      </c>
      <c r="J78" s="175" t="n">
        <v>0</v>
      </c>
      <c r="K78" s="175" t="n">
        <v>0</v>
      </c>
      <c r="L78" s="175" t="n">
        <v>0</v>
      </c>
      <c r="M78" s="174"/>
      <c r="N78" s="108"/>
      <c r="O78" s="168"/>
      <c r="P78" s="108"/>
      <c r="S78" s="170"/>
      <c r="T78" s="159"/>
      <c r="U78" s="159"/>
      <c r="V78" s="159"/>
      <c r="W78" s="159"/>
      <c r="X78" s="159"/>
      <c r="Y78" s="159"/>
      <c r="Z78" s="159"/>
      <c r="AA78" s="159"/>
      <c r="AB78" s="159"/>
      <c r="AC78" s="159"/>
      <c r="AD78" s="59"/>
      <c r="AL78" s="122"/>
    </row>
    <row r="79" customFormat="false" ht="12.75" hidden="true" customHeight="false" outlineLevel="1" collapsed="false">
      <c r="A79" s="177"/>
      <c r="B79" s="174" t="n">
        <v>16</v>
      </c>
      <c r="C79" s="175" t="n">
        <f aca="false">IF(B79&lt;=$B$7,TRANSPOSE(RGGM16),)</f>
        <v>0</v>
      </c>
      <c r="D79" s="175" t="n">
        <v>0</v>
      </c>
      <c r="E79" s="175" t="n">
        <v>0</v>
      </c>
      <c r="F79" s="175" t="n">
        <v>0</v>
      </c>
      <c r="G79" s="175" t="n">
        <v>0</v>
      </c>
      <c r="H79" s="175" t="n">
        <v>0</v>
      </c>
      <c r="I79" s="175" t="n">
        <v>0</v>
      </c>
      <c r="J79" s="175" t="n">
        <v>0</v>
      </c>
      <c r="K79" s="175" t="n">
        <v>0</v>
      </c>
      <c r="L79" s="175" t="n">
        <v>0</v>
      </c>
      <c r="M79" s="174"/>
      <c r="N79" s="108"/>
      <c r="O79" s="168"/>
      <c r="P79" s="108"/>
      <c r="S79" s="170"/>
      <c r="T79" s="159"/>
      <c r="U79" s="159"/>
      <c r="V79" s="159"/>
      <c r="W79" s="159"/>
      <c r="X79" s="159"/>
      <c r="Y79" s="159"/>
      <c r="Z79" s="159"/>
      <c r="AA79" s="159"/>
      <c r="AB79" s="159"/>
      <c r="AC79" s="159"/>
      <c r="AD79" s="59"/>
      <c r="AL79" s="122"/>
    </row>
    <row r="80" customFormat="false" ht="12.75" hidden="true" customHeight="false" outlineLevel="1" collapsed="false">
      <c r="A80" s="177"/>
      <c r="B80" s="174" t="n">
        <v>17</v>
      </c>
      <c r="C80" s="175" t="n">
        <f aca="false">IF(B80&lt;=$B$7,TRANSPOSE(RGGM17),)</f>
        <v>0</v>
      </c>
      <c r="D80" s="175" t="n">
        <v>0</v>
      </c>
      <c r="E80" s="175" t="n">
        <v>0</v>
      </c>
      <c r="F80" s="175" t="n">
        <v>0</v>
      </c>
      <c r="G80" s="175" t="n">
        <v>0</v>
      </c>
      <c r="H80" s="175" t="n">
        <v>0</v>
      </c>
      <c r="I80" s="175" t="n">
        <v>0</v>
      </c>
      <c r="J80" s="175" t="n">
        <v>0</v>
      </c>
      <c r="K80" s="175" t="n">
        <v>0</v>
      </c>
      <c r="L80" s="175" t="n">
        <v>0</v>
      </c>
      <c r="M80" s="174"/>
      <c r="N80" s="108"/>
      <c r="O80" s="168"/>
      <c r="P80" s="108"/>
      <c r="S80" s="170"/>
      <c r="T80" s="159"/>
      <c r="U80" s="159"/>
      <c r="V80" s="159"/>
      <c r="W80" s="159"/>
      <c r="X80" s="159"/>
      <c r="Y80" s="159"/>
      <c r="Z80" s="159"/>
      <c r="AA80" s="159"/>
      <c r="AB80" s="159"/>
      <c r="AC80" s="159"/>
      <c r="AD80" s="59"/>
      <c r="AL80" s="122"/>
    </row>
    <row r="81" customFormat="false" ht="12.75" hidden="true" customHeight="false" outlineLevel="1" collapsed="false">
      <c r="A81" s="177"/>
      <c r="B81" s="174" t="n">
        <v>18</v>
      </c>
      <c r="C81" s="175" t="n">
        <f aca="false">IF(B81&lt;=$B$7,TRANSPOSE(RGGM18),)</f>
        <v>0</v>
      </c>
      <c r="D81" s="175" t="n">
        <v>0</v>
      </c>
      <c r="E81" s="175" t="n">
        <v>0</v>
      </c>
      <c r="F81" s="175" t="n">
        <v>0</v>
      </c>
      <c r="G81" s="175" t="n">
        <v>0</v>
      </c>
      <c r="H81" s="175" t="n">
        <v>0</v>
      </c>
      <c r="I81" s="175" t="n">
        <v>0</v>
      </c>
      <c r="J81" s="175" t="n">
        <v>0</v>
      </c>
      <c r="K81" s="175" t="n">
        <v>0</v>
      </c>
      <c r="L81" s="175" t="n">
        <v>0</v>
      </c>
      <c r="M81" s="174"/>
      <c r="N81" s="108"/>
      <c r="O81" s="168"/>
      <c r="P81" s="108"/>
      <c r="S81" s="170"/>
      <c r="T81" s="159"/>
      <c r="U81" s="159"/>
      <c r="V81" s="159"/>
      <c r="W81" s="159"/>
      <c r="X81" s="159"/>
      <c r="Y81" s="159"/>
      <c r="Z81" s="159"/>
      <c r="AA81" s="159"/>
      <c r="AB81" s="159"/>
      <c r="AC81" s="159"/>
      <c r="AL81" s="122"/>
    </row>
    <row r="82" customFormat="false" ht="12.75" hidden="true" customHeight="false" outlineLevel="1" collapsed="false">
      <c r="A82" s="177"/>
      <c r="B82" s="174" t="n">
        <v>19</v>
      </c>
      <c r="C82" s="175" t="n">
        <f aca="false">IF(B82&lt;=$B$7,TRANSPOSE(RGGM19),)</f>
        <v>0</v>
      </c>
      <c r="D82" s="175" t="n">
        <v>0</v>
      </c>
      <c r="E82" s="175" t="n">
        <v>0</v>
      </c>
      <c r="F82" s="175" t="n">
        <v>0</v>
      </c>
      <c r="G82" s="175" t="n">
        <v>0</v>
      </c>
      <c r="H82" s="175" t="n">
        <v>0</v>
      </c>
      <c r="I82" s="175" t="n">
        <v>0</v>
      </c>
      <c r="J82" s="175" t="n">
        <v>0</v>
      </c>
      <c r="K82" s="175" t="n">
        <v>0</v>
      </c>
      <c r="L82" s="175" t="n">
        <v>0</v>
      </c>
      <c r="M82" s="174"/>
      <c r="N82" s="108"/>
      <c r="O82" s="168"/>
      <c r="P82" s="108"/>
      <c r="S82" s="170"/>
      <c r="T82" s="159"/>
      <c r="U82" s="159"/>
      <c r="V82" s="159"/>
      <c r="W82" s="159"/>
      <c r="X82" s="159"/>
      <c r="Y82" s="159"/>
      <c r="Z82" s="159"/>
      <c r="AA82" s="159"/>
      <c r="AB82" s="159"/>
      <c r="AC82" s="159"/>
      <c r="AL82" s="122"/>
    </row>
    <row r="83" customFormat="false" ht="12.75" hidden="true" customHeight="false" outlineLevel="1" collapsed="false">
      <c r="A83" s="177"/>
      <c r="B83" s="174" t="n">
        <v>20</v>
      </c>
      <c r="C83" s="175" t="n">
        <f aca="false">IF(B83&lt;=$B$7,TRANSPOSE(RGGM20),)</f>
        <v>0</v>
      </c>
      <c r="D83" s="175" t="n">
        <v>0</v>
      </c>
      <c r="E83" s="175" t="n">
        <v>0</v>
      </c>
      <c r="F83" s="175" t="n">
        <v>0</v>
      </c>
      <c r="G83" s="175" t="n">
        <v>0</v>
      </c>
      <c r="H83" s="175" t="n">
        <v>0</v>
      </c>
      <c r="I83" s="175" t="n">
        <v>0</v>
      </c>
      <c r="J83" s="175" t="n">
        <v>0</v>
      </c>
      <c r="K83" s="175" t="n">
        <v>0</v>
      </c>
      <c r="L83" s="175" t="n">
        <v>0</v>
      </c>
      <c r="M83" s="174"/>
      <c r="N83" s="108"/>
      <c r="O83" s="168"/>
      <c r="P83" s="108"/>
      <c r="S83" s="170"/>
      <c r="T83" s="159"/>
      <c r="U83" s="159"/>
      <c r="V83" s="159"/>
      <c r="W83" s="159"/>
      <c r="X83" s="159"/>
      <c r="Y83" s="159"/>
      <c r="Z83" s="159"/>
      <c r="AA83" s="159"/>
      <c r="AB83" s="159"/>
      <c r="AC83" s="159"/>
      <c r="AL83" s="122"/>
    </row>
    <row r="84" customFormat="false" ht="12.75" hidden="true" customHeight="false" outlineLevel="1" collapsed="false">
      <c r="A84" s="177"/>
      <c r="B84" s="115" t="s">
        <v>100</v>
      </c>
      <c r="C84" s="165" t="n">
        <f aca="false">SUM(C64:C83)/$B$7</f>
        <v>0.5</v>
      </c>
      <c r="D84" s="165" t="n">
        <f aca="false">SUM(D64:D83)/$B$7</f>
        <v>0.5</v>
      </c>
      <c r="E84" s="165" t="n">
        <f aca="false">SUM(E64:E83)/$B$7</f>
        <v>0</v>
      </c>
      <c r="F84" s="165" t="n">
        <f aca="false">SUM(F64:F83)/$B$7</f>
        <v>0</v>
      </c>
      <c r="G84" s="165" t="n">
        <f aca="false">SUM(G64:G83)/$B$7</f>
        <v>0</v>
      </c>
      <c r="H84" s="165" t="n">
        <f aca="false">SUM(H64:H83)/$B$7</f>
        <v>0</v>
      </c>
      <c r="I84" s="165" t="n">
        <f aca="false">SUM(I64:I83)/$B$7</f>
        <v>0</v>
      </c>
      <c r="J84" s="165" t="n">
        <f aca="false">SUM(J64:J83)/$B$7</f>
        <v>0</v>
      </c>
      <c r="K84" s="165" t="n">
        <f aca="false">SUM(K64:K83)/$B$7</f>
        <v>0</v>
      </c>
      <c r="L84" s="165" t="n">
        <f aca="false">SUM(L64:L83)/$B$7</f>
        <v>0</v>
      </c>
      <c r="M84" s="180" t="n">
        <f aca="false">EXP(SUM(M85:M104)/$B$7)</f>
        <v>2</v>
      </c>
      <c r="N84" s="167" t="s">
        <v>101</v>
      </c>
      <c r="O84" s="181" t="s">
        <v>102</v>
      </c>
      <c r="P84" s="165"/>
      <c r="S84" s="170"/>
      <c r="T84" s="159"/>
      <c r="U84" s="159"/>
      <c r="V84" s="159"/>
      <c r="W84" s="159"/>
      <c r="X84" s="159"/>
      <c r="Y84" s="159"/>
      <c r="Z84" s="159"/>
      <c r="AA84" s="159"/>
      <c r="AB84" s="159"/>
      <c r="AC84" s="159"/>
      <c r="AL84" s="122"/>
    </row>
    <row r="85" customFormat="false" ht="12.75" hidden="true" customHeight="false" outlineLevel="1" collapsed="false">
      <c r="A85" s="173" t="s">
        <v>103</v>
      </c>
      <c r="B85" s="174" t="n">
        <v>1</v>
      </c>
      <c r="C85" s="182" t="n">
        <f aca="false">IF(AND(C64&gt;0,$B85&lt;=$B$7),-C64*LN(C64),0)</f>
        <v>0.346573590279973</v>
      </c>
      <c r="D85" s="182" t="n">
        <f aca="false">IF(AND(D64&gt;0,$B85&lt;=$B$7),-D64*LN(D64),0)</f>
        <v>0.346573590279973</v>
      </c>
      <c r="E85" s="182" t="n">
        <f aca="false">IF(AND(E64&gt;0,$B85&lt;=$B$7),-E64*LN(E64),0)</f>
        <v>0</v>
      </c>
      <c r="F85" s="182" t="n">
        <f aca="false">IF(AND(F64&gt;0,$B85&lt;=$B$7),-F64*LN(F64),0)</f>
        <v>0</v>
      </c>
      <c r="G85" s="182" t="n">
        <f aca="false">IF(AND(G64&gt;0,$B85&lt;=$B$7),-G64*LN(G64),0)</f>
        <v>0</v>
      </c>
      <c r="H85" s="182" t="n">
        <f aca="false">IF(AND(H64&gt;0,$B85&lt;=$B$7),-H64*LN(H64),0)</f>
        <v>0</v>
      </c>
      <c r="I85" s="182" t="n">
        <f aca="false">IF(AND(I64&gt;0,$B85&lt;=$B$7),-I64*LN(I64),0)</f>
        <v>0</v>
      </c>
      <c r="J85" s="182" t="n">
        <f aca="false">IF(AND(J64&gt;0,$B85&lt;=$B$7),-J64*LN(J64),0)</f>
        <v>0</v>
      </c>
      <c r="K85" s="182" t="n">
        <f aca="false">IF(AND(K64&gt;0,$B85&lt;=$B$7),-K64*LN(K64),0)</f>
        <v>0</v>
      </c>
      <c r="L85" s="182" t="n">
        <f aca="false">IF(AND(L64&gt;0,$B85&lt;=$B$7),-L64*LN(L64),0)</f>
        <v>0</v>
      </c>
      <c r="M85" s="165" t="n">
        <f aca="false">SUM(C85:L85)</f>
        <v>0.693147180559945</v>
      </c>
      <c r="N85" s="108"/>
      <c r="O85" s="183" t="n">
        <f aca="false">EXP(M85)</f>
        <v>2</v>
      </c>
      <c r="P85" s="184"/>
      <c r="T85" s="159"/>
      <c r="U85" s="159"/>
      <c r="V85" s="159"/>
      <c r="W85" s="159"/>
      <c r="X85" s="159"/>
      <c r="Y85" s="159"/>
      <c r="Z85" s="159"/>
      <c r="AA85" s="159"/>
      <c r="AB85" s="159"/>
      <c r="AC85" s="159"/>
      <c r="AL85" s="122"/>
    </row>
    <row r="86" customFormat="false" ht="12.75" hidden="true" customHeight="false" outlineLevel="1" collapsed="false">
      <c r="A86" s="173" t="s">
        <v>104</v>
      </c>
      <c r="B86" s="174" t="n">
        <v>2</v>
      </c>
      <c r="C86" s="182" t="n">
        <f aca="false">IF(AND(C65&gt;0,$B86&lt;=$B$7),-C65*LN(C65),0)</f>
        <v>0</v>
      </c>
      <c r="D86" s="182" t="n">
        <f aca="false">IF(AND(D65&gt;0,$B86&lt;=$B$7),-D65*LN(D65),0)</f>
        <v>0</v>
      </c>
      <c r="E86" s="182" t="n">
        <f aca="false">IF(AND(E65&gt;0,$B86&lt;=$B$7),-E65*LN(E65),0)</f>
        <v>0</v>
      </c>
      <c r="F86" s="182" t="n">
        <f aca="false">IF(AND(F65&gt;0,$B86&lt;=$B$7),-F65*LN(F65),0)</f>
        <v>0</v>
      </c>
      <c r="G86" s="182" t="n">
        <f aca="false">IF(AND(G65&gt;0,$B86&lt;=$B$7),-G65*LN(G65),0)</f>
        <v>0</v>
      </c>
      <c r="H86" s="182" t="n">
        <f aca="false">IF(AND(H65&gt;0,$B86&lt;=$B$7),-H65*LN(H65),0)</f>
        <v>0</v>
      </c>
      <c r="I86" s="182" t="n">
        <f aca="false">IF(AND(I65&gt;0,$B86&lt;=$B$7),-I65*LN(I65),0)</f>
        <v>0</v>
      </c>
      <c r="J86" s="182" t="n">
        <f aca="false">IF(AND(J65&gt;0,$B86&lt;=$B$7),-J65*LN(J65),0)</f>
        <v>0</v>
      </c>
      <c r="K86" s="182" t="n">
        <f aca="false">IF(AND(K65&gt;0,$B86&lt;=$B$7),-K65*LN(K65),0)</f>
        <v>0</v>
      </c>
      <c r="L86" s="182" t="n">
        <f aca="false">IF(AND(L65&gt;0,$B86&lt;=$B$7),-L65*LN(L65),0)</f>
        <v>0</v>
      </c>
      <c r="M86" s="165" t="n">
        <f aca="false">SUM(C86:L86)</f>
        <v>0</v>
      </c>
      <c r="N86" s="108"/>
      <c r="O86" s="183" t="n">
        <f aca="false">EXP(M86)</f>
        <v>1</v>
      </c>
      <c r="P86" s="184"/>
      <c r="T86" s="185"/>
      <c r="U86" s="185"/>
      <c r="V86" s="185"/>
      <c r="W86" s="185"/>
      <c r="X86" s="185"/>
      <c r="AL86" s="122"/>
    </row>
    <row r="87" customFormat="false" ht="12.75" hidden="true" customHeight="false" outlineLevel="1" collapsed="false">
      <c r="A87" s="177"/>
      <c r="B87" s="174" t="n">
        <v>3</v>
      </c>
      <c r="C87" s="182" t="n">
        <f aca="false">IF(AND(C66&gt;0,$B87&lt;=$B$7),-C66*LN(C66),0)</f>
        <v>0</v>
      </c>
      <c r="D87" s="182" t="n">
        <f aca="false">IF(AND(D66&gt;0,$B87&lt;=$B$7),-D66*LN(D66),0)</f>
        <v>0</v>
      </c>
      <c r="E87" s="182" t="n">
        <f aca="false">IF(AND(E66&gt;0,$B87&lt;=$B$7),-E66*LN(E66),0)</f>
        <v>0</v>
      </c>
      <c r="F87" s="182" t="n">
        <f aca="false">IF(AND(F66&gt;0,$B87&lt;=$B$7),-F66*LN(F66),0)</f>
        <v>0</v>
      </c>
      <c r="G87" s="182" t="n">
        <f aca="false">IF(AND(G66&gt;0,$B87&lt;=$B$7),-G66*LN(G66),0)</f>
        <v>0</v>
      </c>
      <c r="H87" s="182" t="n">
        <f aca="false">IF(AND(H66&gt;0,$B87&lt;=$B$7),-H66*LN(H66),0)</f>
        <v>0</v>
      </c>
      <c r="I87" s="182" t="n">
        <f aca="false">IF(AND(I66&gt;0,$B87&lt;=$B$7),-I66*LN(I66),0)</f>
        <v>0</v>
      </c>
      <c r="J87" s="182" t="n">
        <f aca="false">IF(AND(J66&gt;0,$B87&lt;=$B$7),-J66*LN(J66),0)</f>
        <v>0</v>
      </c>
      <c r="K87" s="182" t="n">
        <f aca="false">IF(AND(K66&gt;0,$B87&lt;=$B$7),-K66*LN(K66),0)</f>
        <v>0</v>
      </c>
      <c r="L87" s="182" t="n">
        <f aca="false">IF(AND(L66&gt;0,$B87&lt;=$B$7),-L66*LN(L66),0)</f>
        <v>0</v>
      </c>
      <c r="M87" s="165" t="n">
        <f aca="false">SUM(C87:L87)</f>
        <v>0</v>
      </c>
      <c r="N87" s="108"/>
      <c r="O87" s="183" t="n">
        <f aca="false">EXP(M87)</f>
        <v>1</v>
      </c>
      <c r="P87" s="184"/>
      <c r="T87" s="185"/>
      <c r="U87" s="185"/>
      <c r="V87" s="185"/>
      <c r="W87" s="185"/>
      <c r="X87" s="185"/>
      <c r="AL87" s="122"/>
    </row>
    <row r="88" customFormat="false" ht="12.75" hidden="true" customHeight="false" outlineLevel="1" collapsed="false">
      <c r="A88" s="173" t="s">
        <v>105</v>
      </c>
      <c r="B88" s="174" t="n">
        <v>4</v>
      </c>
      <c r="C88" s="182" t="n">
        <f aca="false">IF(AND(C67&gt;0,$B88&lt;=$B$7),-C67*LN(C67),0)</f>
        <v>0</v>
      </c>
      <c r="D88" s="182" t="n">
        <f aca="false">IF(AND(D67&gt;0,$B88&lt;=$B$7),-D67*LN(D67),0)</f>
        <v>0</v>
      </c>
      <c r="E88" s="182" t="n">
        <f aca="false">IF(AND(E67&gt;0,$B88&lt;=$B$7),-E67*LN(E67),0)</f>
        <v>0</v>
      </c>
      <c r="F88" s="182" t="n">
        <f aca="false">IF(AND(F67&gt;0,$B88&lt;=$B$7),-F67*LN(F67),0)</f>
        <v>0</v>
      </c>
      <c r="G88" s="182" t="n">
        <f aca="false">IF(AND(G67&gt;0,$B88&lt;=$B$7),-G67*LN(G67),0)</f>
        <v>0</v>
      </c>
      <c r="H88" s="182" t="n">
        <f aca="false">IF(AND(H67&gt;0,$B88&lt;=$B$7),-H67*LN(H67),0)</f>
        <v>0</v>
      </c>
      <c r="I88" s="182" t="n">
        <f aca="false">IF(AND(I67&gt;0,$B88&lt;=$B$7),-I67*LN(I67),0)</f>
        <v>0</v>
      </c>
      <c r="J88" s="182" t="n">
        <f aca="false">IF(AND(J67&gt;0,$B88&lt;=$B$7),-J67*LN(J67),0)</f>
        <v>0</v>
      </c>
      <c r="K88" s="182" t="n">
        <f aca="false">IF(AND(K67&gt;0,$B88&lt;=$B$7),-K67*LN(K67),0)</f>
        <v>0</v>
      </c>
      <c r="L88" s="182" t="n">
        <f aca="false">IF(AND(L67&gt;0,$B88&lt;=$B$7),-L67*LN(L67),0)</f>
        <v>0</v>
      </c>
      <c r="M88" s="165" t="n">
        <f aca="false">SUM(C88:L88)</f>
        <v>0</v>
      </c>
      <c r="N88" s="108"/>
      <c r="O88" s="183" t="n">
        <f aca="false">EXP(M88)</f>
        <v>1</v>
      </c>
      <c r="P88" s="184"/>
      <c r="T88" s="185"/>
      <c r="U88" s="185"/>
      <c r="V88" s="185"/>
      <c r="W88" s="185"/>
      <c r="X88" s="185"/>
      <c r="AL88" s="122"/>
    </row>
    <row r="89" customFormat="false" ht="12.75" hidden="true" customHeight="false" outlineLevel="1" collapsed="false">
      <c r="A89" s="186" t="n">
        <f aca="false">EXP((-9/(B5+8)*LN(9/(B5+8))-(B5-1)*(1/(B5+8)*LN(1/(B5+8)))))</f>
        <v>1.38414548846169</v>
      </c>
      <c r="B89" s="174" t="n">
        <v>5</v>
      </c>
      <c r="C89" s="182" t="n">
        <f aca="false">IF(AND(C68&gt;0,$B89&lt;=$B$7),-C68*LN(C68),0)</f>
        <v>0</v>
      </c>
      <c r="D89" s="182" t="n">
        <f aca="false">IF(AND(D68&gt;0,$B89&lt;=$B$7),-D68*LN(D68),0)</f>
        <v>0</v>
      </c>
      <c r="E89" s="182" t="n">
        <f aca="false">IF(AND(E68&gt;0,$B89&lt;=$B$7),-E68*LN(E68),0)</f>
        <v>0</v>
      </c>
      <c r="F89" s="182" t="n">
        <f aca="false">IF(AND(F68&gt;0,$B89&lt;=$B$7),-F68*LN(F68),0)</f>
        <v>0</v>
      </c>
      <c r="G89" s="182" t="n">
        <f aca="false">IF(AND(G68&gt;0,$B89&lt;=$B$7),-G68*LN(G68),0)</f>
        <v>0</v>
      </c>
      <c r="H89" s="182" t="n">
        <f aca="false">IF(AND(H68&gt;0,$B89&lt;=$B$7),-H68*LN(H68),0)</f>
        <v>0</v>
      </c>
      <c r="I89" s="182" t="n">
        <f aca="false">IF(AND(I68&gt;0,$B89&lt;=$B$7),-I68*LN(I68),0)</f>
        <v>0</v>
      </c>
      <c r="J89" s="182" t="n">
        <f aca="false">IF(AND(J68&gt;0,$B89&lt;=$B$7),-J68*LN(J68),0)</f>
        <v>0</v>
      </c>
      <c r="K89" s="182" t="n">
        <f aca="false">IF(AND(K68&gt;0,$B89&lt;=$B$7),-K68*LN(K68),0)</f>
        <v>0</v>
      </c>
      <c r="L89" s="182" t="n">
        <f aca="false">IF(AND(L68&gt;0,$B89&lt;=$B$7),-L68*LN(L68),0)</f>
        <v>0</v>
      </c>
      <c r="M89" s="165" t="n">
        <f aca="false">SUM(C89:L89)</f>
        <v>0</v>
      </c>
      <c r="N89" s="108"/>
      <c r="O89" s="183" t="n">
        <f aca="false">EXP(M89)</f>
        <v>1</v>
      </c>
      <c r="P89" s="184"/>
      <c r="T89" s="185"/>
      <c r="U89" s="185"/>
      <c r="V89" s="185"/>
      <c r="W89" s="185"/>
      <c r="X89" s="185"/>
      <c r="AL89" s="122"/>
    </row>
    <row r="90" customFormat="false" ht="12.75" hidden="true" customHeight="false" outlineLevel="1" collapsed="false">
      <c r="A90" s="186" t="n">
        <f aca="false">EXP((B5-B7)*(-1/(B5+8)*LN(1/(B5+8)))+B7*(-(B7+8)/(B5+8)/B7*LN((B7+8)/(B5+8)/B7)))</f>
        <v>1.38414548846169</v>
      </c>
      <c r="B90" s="174" t="n">
        <v>6</v>
      </c>
      <c r="C90" s="182" t="n">
        <f aca="false">IF(AND(C69&gt;0,$B90&lt;=$B$7),-C69*LN(C69),0)</f>
        <v>0</v>
      </c>
      <c r="D90" s="182" t="n">
        <f aca="false">IF(AND(D69&gt;0,$B90&lt;=$B$7),-D69*LN(D69),0)</f>
        <v>0</v>
      </c>
      <c r="E90" s="182" t="n">
        <f aca="false">IF(AND(E69&gt;0,$B90&lt;=$B$7),-E69*LN(E69),0)</f>
        <v>0</v>
      </c>
      <c r="F90" s="182" t="n">
        <f aca="false">IF(AND(F69&gt;0,$B90&lt;=$B$7),-F69*LN(F69),0)</f>
        <v>0</v>
      </c>
      <c r="G90" s="182" t="n">
        <f aca="false">IF(AND(G69&gt;0,$B90&lt;=$B$7),-G69*LN(G69),0)</f>
        <v>0</v>
      </c>
      <c r="H90" s="182" t="n">
        <f aca="false">IF(AND(H69&gt;0,$B90&lt;=$B$7),-H69*LN(H69),0)</f>
        <v>0</v>
      </c>
      <c r="I90" s="182" t="n">
        <f aca="false">IF(AND(I69&gt;0,$B90&lt;=$B$7),-I69*LN(I69),0)</f>
        <v>0</v>
      </c>
      <c r="J90" s="182" t="n">
        <f aca="false">IF(AND(J69&gt;0,$B90&lt;=$B$7),-J69*LN(J69),0)</f>
        <v>0</v>
      </c>
      <c r="K90" s="182" t="n">
        <f aca="false">IF(AND(K69&gt;0,$B90&lt;=$B$7),-K69*LN(K69),0)</f>
        <v>0</v>
      </c>
      <c r="L90" s="182" t="n">
        <f aca="false">IF(AND(L69&gt;0,$B90&lt;=$B$7),-L69*LN(L69),0)</f>
        <v>0</v>
      </c>
      <c r="M90" s="165" t="n">
        <f aca="false">SUM(C90:L90)</f>
        <v>0</v>
      </c>
      <c r="N90" s="108"/>
      <c r="O90" s="183" t="n">
        <f aca="false">EXP(M90)</f>
        <v>1</v>
      </c>
      <c r="P90" s="184"/>
      <c r="T90" s="185"/>
      <c r="U90" s="185"/>
      <c r="V90" s="185"/>
      <c r="W90" s="185"/>
      <c r="X90" s="185"/>
      <c r="AL90" s="122"/>
    </row>
    <row r="91" customFormat="false" ht="12.75" hidden="true" customHeight="false" outlineLevel="1" collapsed="false">
      <c r="A91" s="187" t="n">
        <f aca="false">A92/A89</f>
        <v>1.44493481116842</v>
      </c>
      <c r="B91" s="174" t="n">
        <v>7</v>
      </c>
      <c r="C91" s="182" t="n">
        <f aca="false">IF(AND(C70&gt;0,$B91&lt;=$B$7),-C70*LN(C70),0)</f>
        <v>0</v>
      </c>
      <c r="D91" s="182" t="n">
        <f aca="false">IF(AND(D70&gt;0,$B91&lt;=$B$7),-D70*LN(D70),0)</f>
        <v>0</v>
      </c>
      <c r="E91" s="182" t="n">
        <f aca="false">IF(AND(E70&gt;0,$B91&lt;=$B$7),-E70*LN(E70),0)</f>
        <v>0</v>
      </c>
      <c r="F91" s="182" t="n">
        <f aca="false">IF(AND(F70&gt;0,$B91&lt;=$B$7),-F70*LN(F70),0)</f>
        <v>0</v>
      </c>
      <c r="G91" s="182" t="n">
        <f aca="false">IF(AND(G70&gt;0,$B91&lt;=$B$7),-G70*LN(G70),0)</f>
        <v>0</v>
      </c>
      <c r="H91" s="182" t="n">
        <f aca="false">IF(AND(H70&gt;0,$B91&lt;=$B$7),-H70*LN(H70),0)</f>
        <v>0</v>
      </c>
      <c r="I91" s="182" t="n">
        <f aca="false">IF(AND(I70&gt;0,$B91&lt;=$B$7),-I70*LN(I70),0)</f>
        <v>0</v>
      </c>
      <c r="J91" s="182" t="n">
        <f aca="false">IF(AND(J70&gt;0,$B91&lt;=$B$7),-J70*LN(J70),0)</f>
        <v>0</v>
      </c>
      <c r="K91" s="182" t="n">
        <f aca="false">IF(AND(K70&gt;0,$B91&lt;=$B$7),-K70*LN(K70),0)</f>
        <v>0</v>
      </c>
      <c r="L91" s="182" t="n">
        <f aca="false">IF(AND(L70&gt;0,$B91&lt;=$B$7),-L70*LN(L70),0)</f>
        <v>0</v>
      </c>
      <c r="M91" s="165" t="n">
        <f aca="false">SUM(C91:L91)</f>
        <v>0</v>
      </c>
      <c r="N91" s="108"/>
      <c r="O91" s="183" t="n">
        <f aca="false">EXP(M91)</f>
        <v>1</v>
      </c>
      <c r="P91" s="184"/>
      <c r="T91" s="185"/>
      <c r="U91" s="185"/>
      <c r="V91" s="185"/>
      <c r="W91" s="185"/>
      <c r="X91" s="185"/>
      <c r="AL91" s="122"/>
    </row>
    <row r="92" customFormat="false" ht="12.75" hidden="true" customHeight="false" outlineLevel="1" collapsed="false">
      <c r="A92" s="187" t="n">
        <f aca="false">B5</f>
        <v>2</v>
      </c>
      <c r="B92" s="174" t="n">
        <v>8</v>
      </c>
      <c r="C92" s="182" t="n">
        <f aca="false">IF(AND(C71&gt;0,$B92&lt;=$B$7),-C71*LN(C71),0)</f>
        <v>0</v>
      </c>
      <c r="D92" s="182" t="n">
        <f aca="false">IF(AND(D71&gt;0,$B92&lt;=$B$7),-D71*LN(D71),0)</f>
        <v>0</v>
      </c>
      <c r="E92" s="182" t="n">
        <f aca="false">IF(AND(E71&gt;0,$B92&lt;=$B$7),-E71*LN(E71),0)</f>
        <v>0</v>
      </c>
      <c r="F92" s="182" t="n">
        <f aca="false">IF(AND(F71&gt;0,$B92&lt;=$B$7),-F71*LN(F71),0)</f>
        <v>0</v>
      </c>
      <c r="G92" s="182" t="n">
        <f aca="false">IF(AND(G71&gt;0,$B92&lt;=$B$7),-G71*LN(G71),0)</f>
        <v>0</v>
      </c>
      <c r="H92" s="182" t="n">
        <f aca="false">IF(AND(H71&gt;0,$B92&lt;=$B$7),-H71*LN(H71),0)</f>
        <v>0</v>
      </c>
      <c r="I92" s="182" t="n">
        <f aca="false">IF(AND(I71&gt;0,$B92&lt;=$B$7),-I71*LN(I71),0)</f>
        <v>0</v>
      </c>
      <c r="J92" s="182" t="n">
        <f aca="false">IF(AND(J71&gt;0,$B92&lt;=$B$7),-J71*LN(J71),0)</f>
        <v>0</v>
      </c>
      <c r="K92" s="182" t="n">
        <f aca="false">IF(AND(K71&gt;0,$B92&lt;=$B$7),-K71*LN(K71),0)</f>
        <v>0</v>
      </c>
      <c r="L92" s="182" t="n">
        <f aca="false">IF(AND(L71&gt;0,$B92&lt;=$B$7),-L71*LN(L71),0)</f>
        <v>0</v>
      </c>
      <c r="M92" s="165" t="n">
        <f aca="false">SUM(C92:L92)</f>
        <v>0</v>
      </c>
      <c r="N92" s="108"/>
      <c r="O92" s="183" t="n">
        <f aca="false">EXP(M92)</f>
        <v>1</v>
      </c>
      <c r="P92" s="184"/>
      <c r="T92" s="185"/>
      <c r="U92" s="185"/>
      <c r="V92" s="185"/>
      <c r="W92" s="185"/>
      <c r="X92" s="185"/>
      <c r="AL92" s="122"/>
    </row>
    <row r="93" customFormat="false" ht="12.75" hidden="true" customHeight="false" outlineLevel="1" collapsed="false">
      <c r="A93" s="177"/>
      <c r="B93" s="174" t="n">
        <v>9</v>
      </c>
      <c r="C93" s="182" t="n">
        <f aca="false">IF(AND(C72&gt;0,$B93&lt;=$B$7),-C72*LN(C72),0)</f>
        <v>0</v>
      </c>
      <c r="D93" s="182" t="n">
        <f aca="false">IF(AND(D72&gt;0,$B93&lt;=$B$7),-D72*LN(D72),0)</f>
        <v>0</v>
      </c>
      <c r="E93" s="182" t="n">
        <f aca="false">IF(AND(E72&gt;0,$B93&lt;=$B$7),-E72*LN(E72),0)</f>
        <v>0</v>
      </c>
      <c r="F93" s="182" t="n">
        <f aca="false">IF(AND(F72&gt;0,$B93&lt;=$B$7),-F72*LN(F72),0)</f>
        <v>0</v>
      </c>
      <c r="G93" s="182" t="n">
        <f aca="false">IF(AND(G72&gt;0,$B93&lt;=$B$7),-G72*LN(G72),0)</f>
        <v>0</v>
      </c>
      <c r="H93" s="182" t="n">
        <f aca="false">IF(AND(H72&gt;0,$B93&lt;=$B$7),-H72*LN(H72),0)</f>
        <v>0</v>
      </c>
      <c r="I93" s="182" t="n">
        <f aca="false">IF(AND(I72&gt;0,$B93&lt;=$B$7),-I72*LN(I72),0)</f>
        <v>0</v>
      </c>
      <c r="J93" s="182" t="n">
        <f aca="false">IF(AND(J72&gt;0,$B93&lt;=$B$7),-J72*LN(J72),0)</f>
        <v>0</v>
      </c>
      <c r="K93" s="182" t="n">
        <f aca="false">IF(AND(K72&gt;0,$B93&lt;=$B$7),-K72*LN(K72),0)</f>
        <v>0</v>
      </c>
      <c r="L93" s="182" t="n">
        <f aca="false">IF(AND(L72&gt;0,$B93&lt;=$B$7),-L72*LN(L72),0)</f>
        <v>0</v>
      </c>
      <c r="M93" s="165" t="n">
        <f aca="false">SUM(C93:L93)</f>
        <v>0</v>
      </c>
      <c r="N93" s="108"/>
      <c r="O93" s="183" t="n">
        <f aca="false">EXP(M93)</f>
        <v>1</v>
      </c>
      <c r="P93" s="184"/>
      <c r="T93" s="185"/>
      <c r="U93" s="185"/>
      <c r="V93" s="185"/>
      <c r="W93" s="185"/>
      <c r="X93" s="185"/>
      <c r="AL93" s="122"/>
    </row>
    <row r="94" customFormat="false" ht="12.75" hidden="true" customHeight="false" outlineLevel="1" collapsed="false">
      <c r="A94" s="177"/>
      <c r="B94" s="174" t="n">
        <v>10</v>
      </c>
      <c r="C94" s="182" t="n">
        <f aca="false">IF(AND(C73&gt;0,$B94&lt;=$B$7),-C73*LN(C73),0)</f>
        <v>0</v>
      </c>
      <c r="D94" s="182" t="n">
        <f aca="false">IF(AND(D73&gt;0,$B94&lt;=$B$7),-D73*LN(D73),0)</f>
        <v>0</v>
      </c>
      <c r="E94" s="182" t="n">
        <f aca="false">IF(AND(E73&gt;0,$B94&lt;=$B$7),-E73*LN(E73),0)</f>
        <v>0</v>
      </c>
      <c r="F94" s="182" t="n">
        <f aca="false">IF(AND(F73&gt;0,$B94&lt;=$B$7),-F73*LN(F73),0)</f>
        <v>0</v>
      </c>
      <c r="G94" s="182" t="n">
        <f aca="false">IF(AND(G73&gt;0,$B94&lt;=$B$7),-G73*LN(G73),0)</f>
        <v>0</v>
      </c>
      <c r="H94" s="182" t="n">
        <f aca="false">IF(AND(H73&gt;0,$B94&lt;=$B$7),-H73*LN(H73),0)</f>
        <v>0</v>
      </c>
      <c r="I94" s="182" t="n">
        <f aca="false">IF(AND(I73&gt;0,$B94&lt;=$B$7),-I73*LN(I73),0)</f>
        <v>0</v>
      </c>
      <c r="J94" s="182" t="n">
        <f aca="false">IF(AND(J73&gt;0,$B94&lt;=$B$7),-J73*LN(J73),0)</f>
        <v>0</v>
      </c>
      <c r="K94" s="182" t="n">
        <f aca="false">IF(AND(K73&gt;0,$B94&lt;=$B$7),-K73*LN(K73),0)</f>
        <v>0</v>
      </c>
      <c r="L94" s="182" t="n">
        <f aca="false">IF(AND(L73&gt;0,$B94&lt;=$B$7),-L73*LN(L73),0)</f>
        <v>0</v>
      </c>
      <c r="M94" s="165" t="n">
        <f aca="false">SUM(C94:L94)</f>
        <v>0</v>
      </c>
      <c r="N94" s="108"/>
      <c r="O94" s="183" t="n">
        <f aca="false">EXP(M94)</f>
        <v>1</v>
      </c>
      <c r="P94" s="184"/>
      <c r="T94" s="185"/>
      <c r="U94" s="185"/>
      <c r="V94" s="185"/>
      <c r="W94" s="185"/>
      <c r="X94" s="185"/>
      <c r="AL94" s="122"/>
    </row>
    <row r="95" customFormat="false" ht="12.75" hidden="true" customHeight="false" outlineLevel="1" collapsed="false">
      <c r="A95" s="177"/>
      <c r="B95" s="174" t="n">
        <v>11</v>
      </c>
      <c r="C95" s="182" t="n">
        <f aca="false">IF(AND(C74&gt;0,$B95&lt;=$B$7),-C74*LN(C74),0)</f>
        <v>0</v>
      </c>
      <c r="D95" s="182" t="n">
        <f aca="false">IF(AND(D74&gt;0,$B95&lt;=$B$7),-D74*LN(D74),0)</f>
        <v>0</v>
      </c>
      <c r="E95" s="182" t="n">
        <f aca="false">IF(AND(E74&gt;0,$B95&lt;=$B$7),-E74*LN(E74),0)</f>
        <v>0</v>
      </c>
      <c r="F95" s="182" t="n">
        <f aca="false">IF(AND(F74&gt;0,$B95&lt;=$B$7),-F74*LN(F74),0)</f>
        <v>0</v>
      </c>
      <c r="G95" s="182" t="n">
        <f aca="false">IF(AND(G74&gt;0,$B95&lt;=$B$7),-G74*LN(G74),0)</f>
        <v>0</v>
      </c>
      <c r="H95" s="182" t="n">
        <f aca="false">IF(AND(H74&gt;0,$B95&lt;=$B$7),-H74*LN(H74),0)</f>
        <v>0</v>
      </c>
      <c r="I95" s="182" t="n">
        <f aca="false">IF(AND(I74&gt;0,$B95&lt;=$B$7),-I74*LN(I74),0)</f>
        <v>0</v>
      </c>
      <c r="J95" s="182" t="n">
        <f aca="false">IF(AND(J74&gt;0,$B95&lt;=$B$7),-J74*LN(J74),0)</f>
        <v>0</v>
      </c>
      <c r="K95" s="182" t="n">
        <f aca="false">IF(AND(K74&gt;0,$B95&lt;=$B$7),-K74*LN(K74),0)</f>
        <v>0</v>
      </c>
      <c r="L95" s="182" t="n">
        <f aca="false">IF(AND(L74&gt;0,$B95&lt;=$B$7),-L74*LN(L74),0)</f>
        <v>0</v>
      </c>
      <c r="M95" s="165" t="n">
        <f aca="false">SUM(C95:L95)</f>
        <v>0</v>
      </c>
      <c r="N95" s="108"/>
      <c r="O95" s="183" t="n">
        <f aca="false">EXP(M95)</f>
        <v>1</v>
      </c>
      <c r="P95" s="184"/>
      <c r="T95" s="185"/>
      <c r="U95" s="185"/>
      <c r="V95" s="185"/>
      <c r="W95" s="185"/>
      <c r="X95" s="185"/>
      <c r="AL95" s="122"/>
    </row>
    <row r="96" customFormat="false" ht="12.75" hidden="true" customHeight="false" outlineLevel="1" collapsed="false">
      <c r="A96" s="177"/>
      <c r="B96" s="174" t="n">
        <v>12</v>
      </c>
      <c r="C96" s="182" t="n">
        <f aca="false">IF(AND(C75&gt;0,$B96&lt;=$B$7),-C75*LN(C75),0)</f>
        <v>0</v>
      </c>
      <c r="D96" s="182" t="n">
        <f aca="false">IF(AND(D75&gt;0,$B96&lt;=$B$7),-D75*LN(D75),0)</f>
        <v>0</v>
      </c>
      <c r="E96" s="182" t="n">
        <f aca="false">IF(AND(E75&gt;0,$B96&lt;=$B$7),-E75*LN(E75),0)</f>
        <v>0</v>
      </c>
      <c r="F96" s="182" t="n">
        <f aca="false">IF(AND(F75&gt;0,$B96&lt;=$B$7),-F75*LN(F75),0)</f>
        <v>0</v>
      </c>
      <c r="G96" s="182" t="n">
        <f aca="false">IF(AND(G75&gt;0,$B96&lt;=$B$7),-G75*LN(G75),0)</f>
        <v>0</v>
      </c>
      <c r="H96" s="182" t="n">
        <f aca="false">IF(AND(H75&gt;0,$B96&lt;=$B$7),-H75*LN(H75),0)</f>
        <v>0</v>
      </c>
      <c r="I96" s="182" t="n">
        <f aca="false">IF(AND(I75&gt;0,$B96&lt;=$B$7),-I75*LN(I75),0)</f>
        <v>0</v>
      </c>
      <c r="J96" s="182" t="n">
        <f aca="false">IF(AND(J75&gt;0,$B96&lt;=$B$7),-J75*LN(J75),0)</f>
        <v>0</v>
      </c>
      <c r="K96" s="182" t="n">
        <f aca="false">IF(AND(K75&gt;0,$B96&lt;=$B$7),-K75*LN(K75),0)</f>
        <v>0</v>
      </c>
      <c r="L96" s="182" t="n">
        <f aca="false">IF(AND(L75&gt;0,$B96&lt;=$B$7),-L75*LN(L75),0)</f>
        <v>0</v>
      </c>
      <c r="M96" s="165" t="n">
        <f aca="false">SUM(C96:L96)</f>
        <v>0</v>
      </c>
      <c r="N96" s="108"/>
      <c r="O96" s="183" t="n">
        <f aca="false">EXP(M96)</f>
        <v>1</v>
      </c>
      <c r="P96" s="184"/>
      <c r="T96" s="185"/>
      <c r="U96" s="185"/>
      <c r="V96" s="185"/>
      <c r="W96" s="185"/>
      <c r="X96" s="185"/>
      <c r="AL96" s="122"/>
    </row>
    <row r="97" customFormat="false" ht="12.75" hidden="true" customHeight="false" outlineLevel="1" collapsed="false">
      <c r="A97" s="177"/>
      <c r="B97" s="174" t="n">
        <v>13</v>
      </c>
      <c r="C97" s="182" t="n">
        <f aca="false">IF(AND(C76&gt;0,$B97&lt;=$B$7),-C76*LN(C76),0)</f>
        <v>0</v>
      </c>
      <c r="D97" s="182" t="n">
        <f aca="false">IF(AND(D76&gt;0,$B97&lt;=$B$7),-D76*LN(D76),0)</f>
        <v>0</v>
      </c>
      <c r="E97" s="182" t="n">
        <f aca="false">IF(AND(E76&gt;0,$B97&lt;=$B$7),-E76*LN(E76),0)</f>
        <v>0</v>
      </c>
      <c r="F97" s="182" t="n">
        <f aca="false">IF(AND(F76&gt;0,$B97&lt;=$B$7),-F76*LN(F76),0)</f>
        <v>0</v>
      </c>
      <c r="G97" s="182" t="n">
        <f aca="false">IF(AND(G76&gt;0,$B97&lt;=$B$7),-G76*LN(G76),0)</f>
        <v>0</v>
      </c>
      <c r="H97" s="182" t="n">
        <f aca="false">IF(AND(H76&gt;0,$B97&lt;=$B$7),-H76*LN(H76),0)</f>
        <v>0</v>
      </c>
      <c r="I97" s="182" t="n">
        <f aca="false">IF(AND(I76&gt;0,$B97&lt;=$B$7),-I76*LN(I76),0)</f>
        <v>0</v>
      </c>
      <c r="J97" s="182" t="n">
        <f aca="false">IF(AND(J76&gt;0,$B97&lt;=$B$7),-J76*LN(J76),0)</f>
        <v>0</v>
      </c>
      <c r="K97" s="182" t="n">
        <f aca="false">IF(AND(K76&gt;0,$B97&lt;=$B$7),-K76*LN(K76),0)</f>
        <v>0</v>
      </c>
      <c r="L97" s="182" t="n">
        <f aca="false">IF(AND(L76&gt;0,$B97&lt;=$B$7),-L76*LN(L76),0)</f>
        <v>0</v>
      </c>
      <c r="M97" s="165" t="n">
        <f aca="false">SUM(C97:L97)</f>
        <v>0</v>
      </c>
      <c r="N97" s="108"/>
      <c r="O97" s="183" t="n">
        <f aca="false">EXP(M97)</f>
        <v>1</v>
      </c>
      <c r="P97" s="184"/>
      <c r="T97" s="185"/>
      <c r="U97" s="185"/>
      <c r="V97" s="185"/>
      <c r="W97" s="185"/>
      <c r="X97" s="185"/>
      <c r="AL97" s="122"/>
    </row>
    <row r="98" customFormat="false" ht="12.75" hidden="true" customHeight="false" outlineLevel="1" collapsed="false">
      <c r="A98" s="177"/>
      <c r="B98" s="174" t="n">
        <v>14</v>
      </c>
      <c r="C98" s="182" t="n">
        <f aca="false">IF(AND(C77&gt;0,$B98&lt;=$B$7),-C77*LN(C77),0)</f>
        <v>0</v>
      </c>
      <c r="D98" s="182" t="n">
        <f aca="false">IF(AND(D77&gt;0,$B98&lt;=$B$7),-D77*LN(D77),0)</f>
        <v>0</v>
      </c>
      <c r="E98" s="182" t="n">
        <f aca="false">IF(AND(E77&gt;0,$B98&lt;=$B$7),-E77*LN(E77),0)</f>
        <v>0</v>
      </c>
      <c r="F98" s="182" t="n">
        <f aca="false">IF(AND(F77&gt;0,$B98&lt;=$B$7),-F77*LN(F77),0)</f>
        <v>0</v>
      </c>
      <c r="G98" s="182" t="n">
        <f aca="false">IF(AND(G77&gt;0,$B98&lt;=$B$7),-G77*LN(G77),0)</f>
        <v>0</v>
      </c>
      <c r="H98" s="182" t="n">
        <f aca="false">IF(AND(H77&gt;0,$B98&lt;=$B$7),-H77*LN(H77),0)</f>
        <v>0</v>
      </c>
      <c r="I98" s="182" t="n">
        <f aca="false">IF(AND(I77&gt;0,$B98&lt;=$B$7),-I77*LN(I77),0)</f>
        <v>0</v>
      </c>
      <c r="J98" s="182" t="n">
        <f aca="false">IF(AND(J77&gt;0,$B98&lt;=$B$7),-J77*LN(J77),0)</f>
        <v>0</v>
      </c>
      <c r="K98" s="182" t="n">
        <f aca="false">IF(AND(K77&gt;0,$B98&lt;=$B$7),-K77*LN(K77),0)</f>
        <v>0</v>
      </c>
      <c r="L98" s="182" t="n">
        <f aca="false">IF(AND(L77&gt;0,$B98&lt;=$B$7),-L77*LN(L77),0)</f>
        <v>0</v>
      </c>
      <c r="M98" s="165" t="n">
        <f aca="false">SUM(C98:L98)</f>
        <v>0</v>
      </c>
      <c r="N98" s="108"/>
      <c r="O98" s="183" t="n">
        <f aca="false">EXP(M98)</f>
        <v>1</v>
      </c>
      <c r="P98" s="184"/>
      <c r="T98" s="185"/>
      <c r="U98" s="185"/>
      <c r="V98" s="185"/>
      <c r="W98" s="185"/>
      <c r="X98" s="185"/>
      <c r="AL98" s="122"/>
    </row>
    <row r="99" customFormat="false" ht="12.75" hidden="true" customHeight="false" outlineLevel="1" collapsed="false">
      <c r="A99" s="177"/>
      <c r="B99" s="174" t="n">
        <v>15</v>
      </c>
      <c r="C99" s="182" t="n">
        <f aca="false">IF(AND(C78&gt;0,$B99&lt;=$B$7),-C78*LN(C78),0)</f>
        <v>0</v>
      </c>
      <c r="D99" s="182" t="n">
        <f aca="false">IF(AND(D78&gt;0,$B99&lt;=$B$7),-D78*LN(D78),0)</f>
        <v>0</v>
      </c>
      <c r="E99" s="182" t="n">
        <f aca="false">IF(AND(E78&gt;0,$B99&lt;=$B$7),-E78*LN(E78),0)</f>
        <v>0</v>
      </c>
      <c r="F99" s="182" t="n">
        <f aca="false">IF(AND(F78&gt;0,$B99&lt;=$B$7),-F78*LN(F78),0)</f>
        <v>0</v>
      </c>
      <c r="G99" s="182" t="n">
        <f aca="false">IF(AND(G78&gt;0,$B99&lt;=$B$7),-G78*LN(G78),0)</f>
        <v>0</v>
      </c>
      <c r="H99" s="182" t="n">
        <f aca="false">IF(AND(H78&gt;0,$B99&lt;=$B$7),-H78*LN(H78),0)</f>
        <v>0</v>
      </c>
      <c r="I99" s="182" t="n">
        <f aca="false">IF(AND(I78&gt;0,$B99&lt;=$B$7),-I78*LN(I78),0)</f>
        <v>0</v>
      </c>
      <c r="J99" s="182" t="n">
        <f aca="false">IF(AND(J78&gt;0,$B99&lt;=$B$7),-J78*LN(J78),0)</f>
        <v>0</v>
      </c>
      <c r="K99" s="182" t="n">
        <f aca="false">IF(AND(K78&gt;0,$B99&lt;=$B$7),-K78*LN(K78),0)</f>
        <v>0</v>
      </c>
      <c r="L99" s="182" t="n">
        <f aca="false">IF(AND(L78&gt;0,$B99&lt;=$B$7),-L78*LN(L78),0)</f>
        <v>0</v>
      </c>
      <c r="M99" s="165" t="n">
        <f aca="false">SUM(C99:L99)</f>
        <v>0</v>
      </c>
      <c r="N99" s="108"/>
      <c r="O99" s="183" t="n">
        <f aca="false">EXP(M99)</f>
        <v>1</v>
      </c>
      <c r="P99" s="184"/>
      <c r="T99" s="185"/>
      <c r="U99" s="185"/>
      <c r="V99" s="185"/>
      <c r="W99" s="185"/>
      <c r="X99" s="185"/>
      <c r="AL99" s="122"/>
    </row>
    <row r="100" customFormat="false" ht="12.75" hidden="true" customHeight="false" outlineLevel="1" collapsed="false">
      <c r="A100" s="177"/>
      <c r="B100" s="174" t="n">
        <v>16</v>
      </c>
      <c r="C100" s="182" t="n">
        <f aca="false">IF(AND(C79&gt;0,$B100&lt;=$B$7),-C79*LN(C79),0)</f>
        <v>0</v>
      </c>
      <c r="D100" s="182" t="n">
        <f aca="false">IF(AND(D79&gt;0,$B100&lt;=$B$7),-D79*LN(D79),0)</f>
        <v>0</v>
      </c>
      <c r="E100" s="182" t="n">
        <f aca="false">IF(AND(E79&gt;0,$B100&lt;=$B$7),-E79*LN(E79),0)</f>
        <v>0</v>
      </c>
      <c r="F100" s="182" t="n">
        <f aca="false">IF(AND(F79&gt;0,$B100&lt;=$B$7),-F79*LN(F79),0)</f>
        <v>0</v>
      </c>
      <c r="G100" s="182" t="n">
        <f aca="false">IF(AND(G79&gt;0,$B100&lt;=$B$7),-G79*LN(G79),0)</f>
        <v>0</v>
      </c>
      <c r="H100" s="182" t="n">
        <f aca="false">IF(AND(H79&gt;0,$B100&lt;=$B$7),-H79*LN(H79),0)</f>
        <v>0</v>
      </c>
      <c r="I100" s="182" t="n">
        <f aca="false">IF(AND(I79&gt;0,$B100&lt;=$B$7),-I79*LN(I79),0)</f>
        <v>0</v>
      </c>
      <c r="J100" s="182" t="n">
        <f aca="false">IF(AND(J79&gt;0,$B100&lt;=$B$7),-J79*LN(J79),0)</f>
        <v>0</v>
      </c>
      <c r="K100" s="182" t="n">
        <f aca="false">IF(AND(K79&gt;0,$B100&lt;=$B$7),-K79*LN(K79),0)</f>
        <v>0</v>
      </c>
      <c r="L100" s="182" t="n">
        <f aca="false">IF(AND(L79&gt;0,$B100&lt;=$B$7),-L79*LN(L79),0)</f>
        <v>0</v>
      </c>
      <c r="M100" s="165" t="n">
        <f aca="false">SUM(C100:L100)</f>
        <v>0</v>
      </c>
      <c r="N100" s="108"/>
      <c r="O100" s="183" t="n">
        <f aca="false">EXP(M100)</f>
        <v>1</v>
      </c>
      <c r="P100" s="184"/>
      <c r="T100" s="185"/>
      <c r="U100" s="185"/>
      <c r="V100" s="185"/>
      <c r="W100" s="185"/>
      <c r="X100" s="185"/>
      <c r="AL100" s="122"/>
    </row>
    <row r="101" customFormat="false" ht="12.75" hidden="true" customHeight="false" outlineLevel="1" collapsed="false">
      <c r="A101" s="177"/>
      <c r="B101" s="174" t="n">
        <v>17</v>
      </c>
      <c r="C101" s="182" t="n">
        <f aca="false">IF(AND(C80&gt;0,$B101&lt;=$B$7),-C80*LN(C80),0)</f>
        <v>0</v>
      </c>
      <c r="D101" s="182" t="n">
        <f aca="false">IF(AND(D80&gt;0,$B101&lt;=$B$7),-D80*LN(D80),0)</f>
        <v>0</v>
      </c>
      <c r="E101" s="182" t="n">
        <f aca="false">IF(AND(E80&gt;0,$B101&lt;=$B$7),-E80*LN(E80),0)</f>
        <v>0</v>
      </c>
      <c r="F101" s="182" t="n">
        <f aca="false">IF(AND(F80&gt;0,$B101&lt;=$B$7),-F80*LN(F80),0)</f>
        <v>0</v>
      </c>
      <c r="G101" s="182" t="n">
        <f aca="false">IF(AND(G80&gt;0,$B101&lt;=$B$7),-G80*LN(G80),0)</f>
        <v>0</v>
      </c>
      <c r="H101" s="182" t="n">
        <f aca="false">IF(AND(H80&gt;0,$B101&lt;=$B$7),-H80*LN(H80),0)</f>
        <v>0</v>
      </c>
      <c r="I101" s="182" t="n">
        <f aca="false">IF(AND(I80&gt;0,$B101&lt;=$B$7),-I80*LN(I80),0)</f>
        <v>0</v>
      </c>
      <c r="J101" s="182" t="n">
        <f aca="false">IF(AND(J80&gt;0,$B101&lt;=$B$7),-J80*LN(J80),0)</f>
        <v>0</v>
      </c>
      <c r="K101" s="182" t="n">
        <f aca="false">IF(AND(K80&gt;0,$B101&lt;=$B$7),-K80*LN(K80),0)</f>
        <v>0</v>
      </c>
      <c r="L101" s="182" t="n">
        <f aca="false">IF(AND(L80&gt;0,$B101&lt;=$B$7),-L80*LN(L80),0)</f>
        <v>0</v>
      </c>
      <c r="M101" s="165" t="n">
        <f aca="false">SUM(C101:L101)</f>
        <v>0</v>
      </c>
      <c r="N101" s="108"/>
      <c r="O101" s="183" t="n">
        <f aca="false">EXP(M101)</f>
        <v>1</v>
      </c>
      <c r="P101" s="184"/>
      <c r="T101" s="185"/>
      <c r="U101" s="185"/>
      <c r="V101" s="185"/>
      <c r="W101" s="185"/>
      <c r="X101" s="185"/>
      <c r="AL101" s="122"/>
    </row>
    <row r="102" customFormat="false" ht="12.75" hidden="true" customHeight="false" outlineLevel="1" collapsed="false">
      <c r="A102" s="177"/>
      <c r="B102" s="174" t="n">
        <v>18</v>
      </c>
      <c r="C102" s="182" t="n">
        <f aca="false">IF(AND(C81&gt;0,$B102&lt;=$B$7),-C81*LN(C81),0)</f>
        <v>0</v>
      </c>
      <c r="D102" s="182" t="n">
        <f aca="false">IF(AND(D81&gt;0,$B102&lt;=$B$7),-D81*LN(D81),0)</f>
        <v>0</v>
      </c>
      <c r="E102" s="182" t="n">
        <f aca="false">IF(AND(E81&gt;0,$B102&lt;=$B$7),-E81*LN(E81),0)</f>
        <v>0</v>
      </c>
      <c r="F102" s="182" t="n">
        <f aca="false">IF(AND(F81&gt;0,$B102&lt;=$B$7),-F81*LN(F81),0)</f>
        <v>0</v>
      </c>
      <c r="G102" s="182" t="n">
        <f aca="false">IF(AND(G81&gt;0,$B102&lt;=$B$7),-G81*LN(G81),0)</f>
        <v>0</v>
      </c>
      <c r="H102" s="182" t="n">
        <f aca="false">IF(AND(H81&gt;0,$B102&lt;=$B$7),-H81*LN(H81),0)</f>
        <v>0</v>
      </c>
      <c r="I102" s="182" t="n">
        <f aca="false">IF(AND(I81&gt;0,$B102&lt;=$B$7),-I81*LN(I81),0)</f>
        <v>0</v>
      </c>
      <c r="J102" s="182" t="n">
        <f aca="false">IF(AND(J81&gt;0,$B102&lt;=$B$7),-J81*LN(J81),0)</f>
        <v>0</v>
      </c>
      <c r="K102" s="182" t="n">
        <f aca="false">IF(AND(K81&gt;0,$B102&lt;=$B$7),-K81*LN(K81),0)</f>
        <v>0</v>
      </c>
      <c r="L102" s="182" t="n">
        <f aca="false">IF(AND(L81&gt;0,$B102&lt;=$B$7),-L81*LN(L81),0)</f>
        <v>0</v>
      </c>
      <c r="M102" s="165" t="n">
        <f aca="false">SUM(C102:L102)</f>
        <v>0</v>
      </c>
      <c r="N102" s="108"/>
      <c r="O102" s="183" t="n">
        <f aca="false">EXP(M102)</f>
        <v>1</v>
      </c>
      <c r="P102" s="184"/>
      <c r="T102" s="185"/>
      <c r="U102" s="185"/>
      <c r="V102" s="185"/>
      <c r="W102" s="185"/>
      <c r="X102" s="185"/>
      <c r="AL102" s="122"/>
    </row>
    <row r="103" customFormat="false" ht="12.75" hidden="true" customHeight="false" outlineLevel="1" collapsed="false">
      <c r="A103" s="177"/>
      <c r="B103" s="174" t="n">
        <v>19</v>
      </c>
      <c r="C103" s="182" t="n">
        <f aca="false">IF(AND(C82&gt;0,$B103&lt;=$B$7),-C82*LN(C82),0)</f>
        <v>0</v>
      </c>
      <c r="D103" s="182" t="n">
        <f aca="false">IF(AND(D82&gt;0,$B103&lt;=$B$7),-D82*LN(D82),0)</f>
        <v>0</v>
      </c>
      <c r="E103" s="182" t="n">
        <f aca="false">IF(AND(E82&gt;0,$B103&lt;=$B$7),-E82*LN(E82),0)</f>
        <v>0</v>
      </c>
      <c r="F103" s="182" t="n">
        <f aca="false">IF(AND(F82&gt;0,$B103&lt;=$B$7),-F82*LN(F82),0)</f>
        <v>0</v>
      </c>
      <c r="G103" s="182" t="n">
        <f aca="false">IF(AND(G82&gt;0,$B103&lt;=$B$7),-G82*LN(G82),0)</f>
        <v>0</v>
      </c>
      <c r="H103" s="182" t="n">
        <f aca="false">IF(AND(H82&gt;0,$B103&lt;=$B$7),-H82*LN(H82),0)</f>
        <v>0</v>
      </c>
      <c r="I103" s="182" t="n">
        <f aca="false">IF(AND(I82&gt;0,$B103&lt;=$B$7),-I82*LN(I82),0)</f>
        <v>0</v>
      </c>
      <c r="J103" s="182" t="n">
        <f aca="false">IF(AND(J82&gt;0,$B103&lt;=$B$7),-J82*LN(J82),0)</f>
        <v>0</v>
      </c>
      <c r="K103" s="182" t="n">
        <f aca="false">IF(AND(K82&gt;0,$B103&lt;=$B$7),-K82*LN(K82),0)</f>
        <v>0</v>
      </c>
      <c r="L103" s="182" t="n">
        <f aca="false">IF(AND(L82&gt;0,$B103&lt;=$B$7),-L82*LN(L82),0)</f>
        <v>0</v>
      </c>
      <c r="M103" s="165" t="n">
        <f aca="false">SUM(C103:L103)</f>
        <v>0</v>
      </c>
      <c r="N103" s="108"/>
      <c r="O103" s="183" t="n">
        <f aca="false">EXP(M103)</f>
        <v>1</v>
      </c>
      <c r="P103" s="184"/>
      <c r="T103" s="185"/>
      <c r="U103" s="185"/>
      <c r="V103" s="185"/>
      <c r="W103" s="185"/>
      <c r="X103" s="185"/>
      <c r="AL103" s="122"/>
    </row>
    <row r="104" customFormat="false" ht="12.75" hidden="true" customHeight="false" outlineLevel="1" collapsed="false">
      <c r="A104" s="177"/>
      <c r="B104" s="174" t="n">
        <v>20</v>
      </c>
      <c r="C104" s="182" t="n">
        <f aca="false">IF(AND(C83&gt;0,$B104&lt;=$B$7),-C83*LN(C83),0)</f>
        <v>0</v>
      </c>
      <c r="D104" s="182" t="n">
        <f aca="false">IF(AND(D83&gt;0,$B104&lt;=$B$7),-D83*LN(D83),0)</f>
        <v>0</v>
      </c>
      <c r="E104" s="182" t="n">
        <f aca="false">IF(AND(E83&gt;0,$B104&lt;=$B$7),-E83*LN(E83),0)</f>
        <v>0</v>
      </c>
      <c r="F104" s="182" t="n">
        <f aca="false">IF(AND(F83&gt;0,$B104&lt;=$B$7),-F83*LN(F83),0)</f>
        <v>0</v>
      </c>
      <c r="G104" s="182" t="n">
        <f aca="false">IF(AND(G83&gt;0,$B104&lt;=$B$7),-G83*LN(G83),0)</f>
        <v>0</v>
      </c>
      <c r="H104" s="182" t="n">
        <f aca="false">IF(AND(H83&gt;0,$B104&lt;=$B$7),-H83*LN(H83),0)</f>
        <v>0</v>
      </c>
      <c r="I104" s="182" t="n">
        <f aca="false">IF(AND(I83&gt;0,$B104&lt;=$B$7),-I83*LN(I83),0)</f>
        <v>0</v>
      </c>
      <c r="J104" s="182" t="n">
        <f aca="false">IF(AND(J83&gt;0,$B104&lt;=$B$7),-J83*LN(J83),0)</f>
        <v>0</v>
      </c>
      <c r="K104" s="182" t="n">
        <f aca="false">IF(AND(K83&gt;0,$B104&lt;=$B$7),-K83*LN(K83),0)</f>
        <v>0</v>
      </c>
      <c r="L104" s="182" t="n">
        <f aca="false">IF(AND(L83&gt;0,$B104&lt;=$B$7),-L83*LN(L83),0)</f>
        <v>0</v>
      </c>
      <c r="M104" s="165" t="n">
        <f aca="false">SUM(C104:L104)</f>
        <v>0</v>
      </c>
      <c r="N104" s="108"/>
      <c r="O104" s="183" t="n">
        <f aca="false">EXP(M104)</f>
        <v>1</v>
      </c>
      <c r="P104" s="184"/>
      <c r="T104" s="185"/>
      <c r="U104" s="185"/>
      <c r="V104" s="185"/>
      <c r="W104" s="185"/>
      <c r="X104" s="185"/>
      <c r="AL104" s="122"/>
    </row>
    <row r="105" customFormat="false" ht="12.75" hidden="true" customHeight="false" outlineLevel="1" collapsed="false">
      <c r="A105" s="177"/>
      <c r="B105" s="188" t="s">
        <v>106</v>
      </c>
      <c r="C105" s="174" t="n">
        <f aca="false">IF(C84&gt;0,-C84*LN(C84),0)</f>
        <v>0.346573590279973</v>
      </c>
      <c r="D105" s="174" t="n">
        <f aca="false">IF(D84&gt;0,-D84*LN(D84),0)</f>
        <v>0.346573590279973</v>
      </c>
      <c r="E105" s="174" t="n">
        <f aca="false">IF(E84&gt;0,-E84*LN(E84),0)</f>
        <v>0</v>
      </c>
      <c r="F105" s="174" t="n">
        <f aca="false">IF(F84&gt;0,-F84*LN(F84),0)</f>
        <v>0</v>
      </c>
      <c r="G105" s="174" t="n">
        <f aca="false">IF(G84&gt;0,-G84*LN(G84),0)</f>
        <v>0</v>
      </c>
      <c r="H105" s="174" t="n">
        <f aca="false">IF(H84&gt;0,-H84*LN(H84),0)</f>
        <v>0</v>
      </c>
      <c r="I105" s="174" t="n">
        <f aca="false">IF(I84&gt;0,-I84*LN(I84),0)</f>
        <v>0</v>
      </c>
      <c r="J105" s="174" t="n">
        <f aca="false">IF(J84&gt;0,-J84*LN(J84),0)</f>
        <v>0</v>
      </c>
      <c r="K105" s="174" t="n">
        <f aca="false">IF(K84&gt;0,-K84*LN(K84),0)</f>
        <v>0</v>
      </c>
      <c r="L105" s="174" t="n">
        <f aca="false">IF(L84&gt;0,-L84*LN(L84),0)</f>
        <v>0</v>
      </c>
      <c r="M105" s="166" t="n">
        <f aca="false">EXP(SUM(C105:L105))</f>
        <v>2</v>
      </c>
      <c r="N105" s="167" t="s">
        <v>107</v>
      </c>
      <c r="O105" s="168"/>
      <c r="P105" s="108"/>
      <c r="T105" s="114"/>
      <c r="U105" s="114"/>
      <c r="V105" s="114"/>
      <c r="W105" s="114"/>
      <c r="X105" s="114"/>
      <c r="AL105" s="122"/>
    </row>
    <row r="106" customFormat="false" ht="12.75" hidden="true" customHeight="false" outlineLevel="1" collapsed="false">
      <c r="A106" s="189"/>
      <c r="B106" s="190"/>
      <c r="C106" s="190"/>
      <c r="D106" s="190"/>
      <c r="E106" s="190"/>
      <c r="F106" s="190"/>
      <c r="G106" s="190"/>
      <c r="H106" s="190"/>
      <c r="I106" s="190"/>
      <c r="J106" s="190"/>
      <c r="K106" s="190"/>
      <c r="L106" s="190"/>
      <c r="M106" s="190"/>
      <c r="N106" s="190"/>
      <c r="O106" s="191"/>
      <c r="P106" s="108"/>
      <c r="T106" s="59"/>
      <c r="U106" s="59"/>
      <c r="V106" s="59"/>
      <c r="W106" s="59"/>
      <c r="X106" s="59"/>
      <c r="AL106" s="122"/>
    </row>
    <row r="107" customFormat="false" ht="12.75" hidden="false" customHeight="false" outlineLevel="0" collapsed="false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T107" s="59"/>
      <c r="U107" s="59"/>
      <c r="V107" s="59"/>
      <c r="W107" s="59"/>
      <c r="X107" s="59"/>
      <c r="AG107" s="0" t="n">
        <v>5</v>
      </c>
      <c r="AL107" s="122"/>
    </row>
  </sheetData>
  <sheetProtection sheet="true" objects="true" scenarios="true"/>
  <mergeCells count="30">
    <mergeCell ref="B5:C5"/>
    <mergeCell ref="B7:C7"/>
    <mergeCell ref="B9:C9"/>
    <mergeCell ref="M9:P9"/>
    <mergeCell ref="B11:P11"/>
    <mergeCell ref="B13:D13"/>
    <mergeCell ref="B15:D15"/>
    <mergeCell ref="B17:E17"/>
    <mergeCell ref="C18:E18"/>
    <mergeCell ref="F18:N18"/>
    <mergeCell ref="C19:E19"/>
    <mergeCell ref="F19:N19"/>
    <mergeCell ref="C20:E20"/>
    <mergeCell ref="F20:N20"/>
    <mergeCell ref="C21:E21"/>
    <mergeCell ref="F21:N21"/>
    <mergeCell ref="C22:E22"/>
    <mergeCell ref="F22:N22"/>
    <mergeCell ref="C23:E23"/>
    <mergeCell ref="F23:N23"/>
    <mergeCell ref="C24:E24"/>
    <mergeCell ref="F24:N24"/>
    <mergeCell ref="C25:E25"/>
    <mergeCell ref="F25:N25"/>
    <mergeCell ref="C26:E26"/>
    <mergeCell ref="F26:N26"/>
    <mergeCell ref="C27:E27"/>
    <mergeCell ref="F27:N27"/>
    <mergeCell ref="L30:M30"/>
    <mergeCell ref="M36:O36"/>
  </mergeCells>
  <conditionalFormatting sqref="O38:P47">
    <cfRule type="cellIs" priority="2" operator="equal" aboveAverage="0" equalAverage="0" bottom="0" percent="0" rank="0" text="" dxfId="0">
      <formula>0</formula>
    </cfRule>
  </conditionalFormatting>
  <conditionalFormatting sqref="A38:A47 C36:L36">
    <cfRule type="cellIs" priority="3" operator="equal" aboveAverage="0" equalAverage="0" bottom="0" percent="0" rank="0" text="" dxfId="1">
      <formula>"n/a"</formula>
    </cfRule>
  </conditionalFormatting>
  <conditionalFormatting sqref="L30">
    <cfRule type="cellIs" priority="4" operator="equal" aboveAverage="0" equalAverage="0" bottom="0" percent="0" rank="0" text="" dxfId="2">
      <formula>0</formula>
    </cfRule>
  </conditionalFormatting>
  <conditionalFormatting sqref="O18:P27">
    <cfRule type="cellIs" priority="5" operator="lessThan" aboveAverage="0" equalAverage="0" bottom="0" percent="0" rank="0" text="" dxfId="3">
      <formula>0.001</formula>
    </cfRule>
  </conditionalFormatting>
  <conditionalFormatting sqref="B11:O11">
    <cfRule type="expression" priority="6" aboveAverage="0" equalAverage="0" bottom="0" percent="0" rank="0" text="" dxfId="4">
      <formula>ISBLANK($B$11)</formula>
    </cfRule>
  </conditionalFormatting>
  <conditionalFormatting sqref="B13:D13">
    <cfRule type="expression" priority="7" aboveAverage="0" equalAverage="0" bottom="0" percent="0" rank="0" text="" dxfId="5">
      <formula>ISBLANK($B$13)</formula>
    </cfRule>
  </conditionalFormatting>
  <conditionalFormatting sqref="B15:D15">
    <cfRule type="expression" priority="8" aboveAverage="0" equalAverage="0" bottom="0" percent="0" rank="0" text="" dxfId="6">
      <formula>ISBLANK($B$15)</formula>
    </cfRule>
  </conditionalFormatting>
  <conditionalFormatting sqref="M32">
    <cfRule type="expression" priority="9" aboveAverage="0" equalAverage="0" bottom="0" percent="0" rank="0" text="" dxfId="7">
      <formula>$M$32&gt;$K$7</formula>
    </cfRule>
  </conditionalFormatting>
  <conditionalFormatting sqref="I32">
    <cfRule type="cellIs" priority="10" operator="greaterThan" aboveAverage="0" equalAverage="0" bottom="0" percent="0" rank="0" text="" dxfId="8">
      <formula>$G$32</formula>
    </cfRule>
  </conditionalFormatting>
  <conditionalFormatting sqref="T86:X104 C64:L83 C85:L104 AH64 T73:AC73">
    <cfRule type="cellIs" priority="11" operator="equal" aboveAverage="0" equalAverage="0" bottom="0" percent="0" rank="0" text="" dxfId="9">
      <formula>0</formula>
    </cfRule>
  </conditionalFormatting>
  <conditionalFormatting sqref="O85:P104">
    <cfRule type="dataBar" priority="12">
      <dataBar showValue="1" minLength="10" maxLength="90">
        <cfvo type="min" val="0"/>
        <cfvo type="max" val="0"/>
        <color rgb="FF63C384"/>
      </dataBar>
      <extLst>
        <ext xmlns:x14="http://schemas.microsoft.com/office/spreadsheetml/2009/9/main" uri="{B025F937-C7B1-47D3-B67F-A62EFF666E3E}">
          <x14:id>{C6A05FAB-7491-4C60-B86E-D210FEA3E220}</x14:id>
        </ext>
      </extLst>
    </cfRule>
  </conditionalFormatting>
  <conditionalFormatting sqref="C18:C26">
    <cfRule type="expression" priority="13" aboveAverage="0" equalAverage="0" bottom="0" percent="0" rank="0" text="" dxfId="10">
      <formula>ISBLANK($C18)</formula>
    </cfRule>
  </conditionalFormatting>
  <conditionalFormatting sqref="F24:F25">
    <cfRule type="expression" priority="14" aboveAverage="0" equalAverage="0" bottom="0" percent="0" rank="0" text="" dxfId="11">
      <formula>ISBLANK($C24)</formula>
    </cfRule>
  </conditionalFormatting>
  <conditionalFormatting sqref="F18:F23">
    <cfRule type="expression" priority="15" aboveAverage="0" equalAverage="0" bottom="0" percent="0" rank="0" text="" dxfId="12">
      <formula>ISBLANK($C18)</formula>
    </cfRule>
  </conditionalFormatting>
  <conditionalFormatting sqref="K15">
    <cfRule type="cellIs" priority="16" operator="greaterThan" aboveAverage="0" equalAverage="0" bottom="0" percent="0" rank="0" text="" dxfId="13">
      <formula>11</formula>
    </cfRule>
  </conditionalFormatting>
  <conditionalFormatting sqref="C50:L59">
    <cfRule type="cellIs" priority="17" operator="equal" aboveAverage="0" equalAverage="0" bottom="0" percent="0" rank="0" text="" dxfId="14">
      <formula>0</formula>
    </cfRule>
  </conditionalFormatting>
  <conditionalFormatting sqref="C38 D39 E40 F41 G42 H43 I44 J45 K46 L47">
    <cfRule type="cellIs" priority="18" operator="equal" aboveAverage="0" equalAverage="0" bottom="0" percent="0" rank="0" text="" dxfId="15">
      <formula>0</formula>
    </cfRule>
  </conditionalFormatting>
  <conditionalFormatting sqref="D38:L38 E38:L39 F40:L40 G41:L41 H42:L42 I43:L43 J44:L44 K45:L45 L46">
    <cfRule type="cellIs" priority="19" operator="equal" aboveAverage="0" equalAverage="0" bottom="0" percent="0" rank="0" text="" dxfId="16">
      <formula>0</formula>
    </cfRule>
  </conditionalFormatting>
  <conditionalFormatting sqref="C39:C47 D40:D47 E41:E47 F42:F47 G43:G47 H44:H47 I45:I47 J46:J47 K47">
    <cfRule type="cellIs" priority="20" operator="equal" aboveAverage="0" equalAverage="0" bottom="0" percent="0" rank="0" text="" dxfId="17">
      <formula>0</formula>
    </cfRule>
  </conditionalFormatting>
  <conditionalFormatting sqref="O18:O27">
    <cfRule type="dataBar" priority="21">
      <dataBar showValue="1" minLength="10" maxLength="90">
        <cfvo type="min" val="0"/>
        <cfvo type="max" val="0"/>
        <color rgb="FFFFB628"/>
      </dataBar>
      <extLst>
        <ext xmlns:x14="http://schemas.microsoft.com/office/spreadsheetml/2009/9/main" uri="{B025F937-C7B1-47D3-B67F-A62EFF666E3E}">
          <x14:id>{6C3D84DD-E261-45AF-92FC-40603F29B77A}</x14:id>
        </ext>
      </extLst>
    </cfRule>
  </conditionalFormatting>
  <conditionalFormatting sqref="AD74:AD77">
    <cfRule type="cellIs" priority="22" operator="equal" aboveAverage="0" equalAverage="0" bottom="0" percent="0" rank="0" text="" dxfId="18">
      <formula>0</formula>
    </cfRule>
  </conditionalFormatting>
  <conditionalFormatting sqref="K32">
    <cfRule type="cellIs" priority="23" operator="equal" aboveAverage="0" equalAverage="0" bottom="0" percent="0" rank="0" text="" dxfId="19">
      <formula>"n/a"</formula>
    </cfRule>
    <cfRule type="cellIs" priority="24" operator="equal" aboveAverage="0" equalAverage="0" bottom="0" percent="0" rank="0" text="" dxfId="20">
      <formula>0</formula>
    </cfRule>
    <cfRule type="cellIs" priority="25" operator="greaterThan" aboveAverage="0" equalAverage="0" bottom="0" percent="0" rank="0" text="" dxfId="21">
      <formula>0</formula>
    </cfRule>
  </conditionalFormatting>
  <conditionalFormatting sqref="B10">
    <cfRule type="cellIs" priority="26" operator="greaterThan" aboveAverage="0" equalAverage="0" bottom="0" percent="0" rank="0" text="" dxfId="22">
      <formula>0</formula>
    </cfRule>
  </conditionalFormatting>
  <conditionalFormatting sqref="P30">
    <cfRule type="cellIs" priority="27" operator="lessThan" aboveAverage="0" equalAverage="0" bottom="0" percent="0" rank="0" text="" dxfId="23">
      <formula>0.001</formula>
    </cfRule>
  </conditionalFormatting>
  <conditionalFormatting sqref="P32">
    <cfRule type="cellIs" priority="28" operator="lessThan" aboveAverage="0" equalAverage="0" bottom="0" percent="0" rank="0" text="" dxfId="24">
      <formula>0.001</formula>
    </cfRule>
  </conditionalFormatting>
  <conditionalFormatting sqref="T63:AC72">
    <cfRule type="cellIs" priority="29" operator="equal" aboveAverage="0" equalAverage="0" bottom="0" percent="0" rank="0" text="" dxfId="25">
      <formula>0</formula>
    </cfRule>
  </conditionalFormatting>
  <conditionalFormatting sqref="T50:AC59">
    <cfRule type="cellIs" priority="30" operator="equal" aboveAverage="0" equalAverage="0" bottom="0" percent="0" rank="0" text="" dxfId="26">
      <formula>0</formula>
    </cfRule>
  </conditionalFormatting>
  <conditionalFormatting sqref="T37 U38 V39 W40 X41 Y42 Z43 AA44 AB45 AC46">
    <cfRule type="cellIs" priority="31" operator="equal" aboveAverage="0" equalAverage="0" bottom="0" percent="0" rank="0" text="" dxfId="27">
      <formula>0</formula>
    </cfRule>
  </conditionalFormatting>
  <conditionalFormatting sqref="U37:AC37 V38:AC38 W39:AC39 X40:AC40 Y41:AC41 Z42:AC42 AA43:AC43 AB44:AC44 AC45">
    <cfRule type="cellIs" priority="32" operator="equal" aboveAverage="0" equalAverage="0" bottom="0" percent="0" rank="0" text="" dxfId="28">
      <formula>0</formula>
    </cfRule>
  </conditionalFormatting>
  <conditionalFormatting sqref="T38:T46 U39:U46 V40:V46 W41:W46 X42:X46 Y43:Y46 Z44:Z46 AA45:AA46 AB46">
    <cfRule type="cellIs" priority="33" operator="equal" aboveAverage="0" equalAverage="0" bottom="0" percent="0" rank="0" text="" dxfId="29">
      <formula>0</formula>
    </cfRule>
  </conditionalFormatting>
  <dataValidations count="6">
    <dataValidation allowBlank="true" operator="between" prompt="0 - 20&#10;0 = consolidated" promptTitle="sel. participant" showDropDown="false" showErrorMessage="true" showInputMessage="true" sqref="B9:C9" type="whole">
      <formula1>0</formula1>
      <formula2>B7</formula2>
    </dataValidation>
    <dataValidation allowBlank="true" operator="between" prompt="1 - Linear (Saaty)&#10;2 - Log&#10;3 - Sqrt&#10;4 - InvLin&#10;5 - Balanced-n&#10;6 - Power&#10;7 - Geom&#10;8 - Adaptive" promptTitle="Scale" showDropDown="false" showErrorMessage="true" showInputMessage="true" sqref="K5" type="whole">
      <formula1>1</formula1>
      <formula2>8</formula2>
    </dataValidation>
    <dataValidation allowBlank="true" operator="between" prompt="range 0 - 1 (0.1 Saaty)" promptTitle="Consistency acceptance" showDropDown="false" showErrorMessage="true" showInputMessage="true" sqref="K7" type="decimal">
      <formula1>0.001</formula1>
      <formula2>1</formula2>
    </dataValidation>
    <dataValidation allowBlank="true" operator="between" showDropDown="false" showErrorMessage="true" showInputMessage="true" sqref="C6" type="whole">
      <formula1>3</formula1>
      <formula2>8</formula2>
    </dataValidation>
    <dataValidation allowBlank="true" operator="between" prompt="1 to 20" promptTitle="No of participants" showDropDown="false" showErrorMessage="true" showInputMessage="true" sqref="B7:C7" type="whole">
      <formula1>1</formula1>
      <formula2>20</formula2>
    </dataValidation>
    <dataValidation allowBlank="true" operator="between" prompt="2 to 10" promptTitle="No of Criteria" showDropDown="false" showErrorMessage="true" showInputMessage="true" sqref="B5:C5" type="whole">
      <formula1>2</formula1>
      <formula2>10</formula2>
    </dataValidation>
  </dataValidations>
  <hyperlinks>
    <hyperlink ref="M2" r:id="rId2" display="https://bpmsg.com"/>
  </hyperlinks>
  <printOptions headings="false" gridLines="false" gridLinesSet="true" horizontalCentered="false" verticalCentered="false"/>
  <pageMargins left="0.984027777777778" right="0.747916666666667" top="0.984027777777778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&amp;Lby K. Goepel&amp;R&amp;F-&amp;A</oddFooter>
  </headerFooter>
  <drawing r:id="rId3"/>
  <legacyDrawing r:id="rId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A05FAB-7491-4C60-B86E-D210FEA3E220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O85:P104</xm:sqref>
        </x14:conditionalFormatting>
        <x14:conditionalFormatting xmlns:xm="http://schemas.microsoft.com/office/excel/2006/main">
          <x14:cfRule type="dataBar" id="{6C3D84DD-E261-45AF-92FC-40603F29B77A}">
            <x14:dataBar minLength="10" maxLength="90" axisPosition="automatic" gradient="true">
              <x14:cfvo type="autoMin"/>
              <x14:cfvo type="autoMax"/>
              <x14:negativeFillColor rgb="FFFF0000"/>
              <x14:axisColor rgb="FF000000"/>
            </x14:dataBar>
          </x14:cfRule>
          <xm:sqref>O18:O27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26" min="15" style="0" width="5.7"/>
    <col collapsed="false" customWidth="true" hidden="false" outlineLevel="0" max="31" min="27" style="0" width="6.71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</v>
      </c>
      <c r="P1" s="197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27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  <c r="P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100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100"/>
      <c r="Q16" s="73"/>
    </row>
    <row r="17" customFormat="false" ht="12.75" hidden="false" customHeight="true" outlineLevel="0" collapsed="false">
      <c r="A17" s="34"/>
      <c r="B17" s="226" t="s">
        <v>117</v>
      </c>
      <c r="C17" s="226"/>
      <c r="D17" s="226"/>
      <c r="E17" s="226"/>
      <c r="F17" s="46" t="n">
        <v>1</v>
      </c>
      <c r="G17" s="227"/>
      <c r="H17" s="227"/>
      <c r="I17" s="228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100"/>
    </row>
    <row r="18" s="234" customFormat="true" ht="12.75" hidden="false" customHeight="true" outlineLevel="0" collapsed="false">
      <c r="A18" s="32"/>
      <c r="B18" s="233" t="s">
        <v>118</v>
      </c>
      <c r="C18" s="100"/>
      <c r="D18" s="56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232"/>
      <c r="P18" s="100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R58" s="59"/>
      <c r="S58" s="59"/>
      <c r="T58" s="277"/>
      <c r="U58" s="277"/>
      <c r="V58" s="59"/>
    </row>
    <row r="59" customFormat="false" ht="12.8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S62" s="59"/>
      <c r="T62" s="277"/>
      <c r="U62" s="277"/>
      <c r="V62" s="59"/>
    </row>
    <row r="63" customFormat="false" ht="12.8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294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27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27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27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27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27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27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27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27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27"/>
    </row>
    <row r="75" customFormat="false" ht="12.75" hidden="false" customHeight="true" outlineLevel="1" collapsed="false">
      <c r="A75" s="308" t="s">
        <v>142</v>
      </c>
      <c r="B75" s="162"/>
      <c r="C75" s="309"/>
      <c r="D75" s="310"/>
      <c r="E75" s="310"/>
      <c r="F75" s="162"/>
      <c r="G75" s="162"/>
      <c r="H75" s="162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fals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47.25" hidden="fals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fals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false" customHeight="true" outlineLevel="1" collapsed="false">
      <c r="A79" s="325"/>
      <c r="B79" s="236" t="n">
        <v>1</v>
      </c>
      <c r="C79" s="326" t="n">
        <v>1</v>
      </c>
      <c r="D79" s="327" t="n">
        <f aca="false">IF(ISNA(VLOOKUP(($B79*10+D$78),$A$21:$O$65,15,0)),0,VLOOKUP(($B79*10+D$78),$A$21:$O$65,15,0))</f>
        <v>1</v>
      </c>
      <c r="E79" s="327" t="n">
        <f aca="false">IF(ISNA(VLOOKUP(($B79*10+E$78),$A$21:$O$65,15,0)),0,VLOOKUP(($B79*10+E$78),$A$21:$O$65,15,0))</f>
        <v>0</v>
      </c>
      <c r="F79" s="327" t="n">
        <f aca="false">IF(ISNA(VLOOKUP(($B79*10+F$78),$A$21:$O$65,15,0)),0,VLOOKUP(($B79*10+F$78),$A$21:$O$65,15,0))</f>
        <v>0</v>
      </c>
      <c r="G79" s="327" t="n">
        <f aca="false">IF(ISNA(VLOOKUP(($B79*10+G$78),$A$21:$O$65,15,0)),0,VLOOKUP(($B79*10+G$78),$A$21:$O$65,15,0))</f>
        <v>0</v>
      </c>
      <c r="H79" s="327" t="n">
        <f aca="false">IF(ISNA(VLOOKUP(($B79*10+H$78),$A$21:$O$65,15,0)),0,VLOOKUP(($B79*10+H$78),$A$21:$O$65,15,0))</f>
        <v>0</v>
      </c>
      <c r="I79" s="327" t="n">
        <f aca="false">IF(ISNA(VLOOKUP(($B79*10+I$78),$A$21:$O$65,15,0)),0,VLOOKUP(($B79*10+I$78),$A$21:$O$65,15,0))</f>
        <v>0</v>
      </c>
      <c r="J79" s="327" t="n">
        <f aca="false">IF(ISNA(VLOOKUP(($B79*10+J$78),$A$21:$O$65,15,0)),0,VLOOKUP(($B79*10+J$78),$A$21:$O$65,15,0))</f>
        <v>0</v>
      </c>
      <c r="K79" s="327" t="n">
        <f aca="false">IF(ISNA(VLOOKUP(($B79*10+K$78),$A$21:$O$65,15,0)),0,VLOOKUP(($B79*10+K$78),$A$21:$O$65,15,0))</f>
        <v>0</v>
      </c>
      <c r="L79" s="327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SQRT(SUM(Q79:Z79)/($K$1-1))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false" customHeight="true" outlineLevel="1" collapsed="false">
      <c r="A80" s="325"/>
      <c r="B80" s="236" t="n">
        <v>2</v>
      </c>
      <c r="C80" s="327" t="n">
        <f aca="false">IF(ISNA(VLOOKUP((10*C$78+$B80),$A$21:$O$65,15,0)),0,1/VLOOKUP((10*C$78+$B80),$A$21:$O$65,15,0))</f>
        <v>1</v>
      </c>
      <c r="D80" s="326" t="n">
        <v>1</v>
      </c>
      <c r="E80" s="327" t="n">
        <f aca="false">IF(ISNA(VLOOKUP(($B80*10+E$78),$A$21:$O$65,15,0)),0,VLOOKUP(($B80*10+E$78),$A$21:$O$65,15,0))</f>
        <v>0</v>
      </c>
      <c r="F80" s="327" t="n">
        <f aca="false">IF(ISNA(VLOOKUP(($B80*10+F$78),$A$21:$O$65,15,0)),0,VLOOKUP(($B80*10+F$78),$A$21:$O$65,15,0))</f>
        <v>0</v>
      </c>
      <c r="G80" s="327" t="n">
        <f aca="false">IF(ISNA(VLOOKUP(($B80*10+G$78),$A$21:$O$65,15,0)),0,VLOOKUP(($B80*10+G$78),$A$21:$O$65,15,0))</f>
        <v>0</v>
      </c>
      <c r="H80" s="327" t="n">
        <f aca="false">IF(ISNA(VLOOKUP(($B80*10+H$78),$A$21:$O$65,15,0)),0,VLOOKUP(($B80*10+H$78),$A$21:$O$65,15,0))</f>
        <v>0</v>
      </c>
      <c r="I80" s="327" t="n">
        <f aca="false">IF(ISNA(VLOOKUP(($B80*10+I$78),$A$21:$O$65,15,0)),0,VLOOKUP(($B80*10+I$78),$A$21:$O$65,15,0))</f>
        <v>0</v>
      </c>
      <c r="J80" s="327" t="n">
        <f aca="false">IF(ISNA(VLOOKUP(($B80*10+J$78),$A$21:$O$65,15,0)),0,VLOOKUP(($B80*10+J$78),$A$21:$O$65,15,0))</f>
        <v>0</v>
      </c>
      <c r="K80" s="327" t="n">
        <f aca="false">IF(ISNA(VLOOKUP(($B80*10+K$78),$A$21:$O$65,15,0)),0,VLOOKUP(($B80*10+K$78),$A$21:$O$65,15,0))</f>
        <v>0</v>
      </c>
      <c r="L80" s="327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SQRT(SUM(Q80:Z80)/($K$1-1))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false" customHeight="true" outlineLevel="1" collapsed="false">
      <c r="A81" s="325"/>
      <c r="B81" s="236" t="n">
        <v>3</v>
      </c>
      <c r="C81" s="327" t="n">
        <f aca="false">IF(ISNA(VLOOKUP((10*C$78+$B81),$A$21:$O$65,15,0)),0,1/VLOOKUP((10*C$78+$B81),$A$21:$O$65,15,0))</f>
        <v>0</v>
      </c>
      <c r="D81" s="327" t="n">
        <f aca="false">IF(ISNA(VLOOKUP((10*D$78+$B81),$A$21:$O$65,15,0)),0,1/VLOOKUP((10*D$78+$B81),$A$21:$O$65,15,0))</f>
        <v>0</v>
      </c>
      <c r="E81" s="326" t="n">
        <v>1</v>
      </c>
      <c r="F81" s="327" t="n">
        <f aca="false">IF(ISNA(VLOOKUP(($B81*10+F$78),$A$21:$O$65,15,0)),0,VLOOKUP(($B81*10+F$78),$A$21:$O$65,15,0))</f>
        <v>0</v>
      </c>
      <c r="G81" s="327" t="n">
        <f aca="false">IF(ISNA(VLOOKUP(($B81*10+G$78),$A$21:$O$65,15,0)),0,VLOOKUP(($B81*10+G$78),$A$21:$O$65,15,0))</f>
        <v>0</v>
      </c>
      <c r="H81" s="327" t="n">
        <f aca="false">IF(ISNA(VLOOKUP(($B81*10+H$78),$A$21:$O$65,15,0)),0,VLOOKUP(($B81*10+H$78),$A$21:$O$65,15,0))</f>
        <v>0</v>
      </c>
      <c r="I81" s="327" t="n">
        <f aca="false">IF(ISNA(VLOOKUP(($B81*10+I$78),$A$21:$O$65,15,0)),0,VLOOKUP(($B81*10+I$78),$A$21:$O$65,15,0))</f>
        <v>0</v>
      </c>
      <c r="J81" s="327" t="n">
        <f aca="false">IF(ISNA(VLOOKUP(($B81*10+J$78),$A$21:$O$65,15,0)),0,VLOOKUP(($B81*10+J$78),$A$21:$O$65,15,0))</f>
        <v>0</v>
      </c>
      <c r="K81" s="327" t="n">
        <f aca="false">IF(ISNA(VLOOKUP(($B81*10+K$78),$A$21:$O$65,15,0)),0,VLOOKUP(($B81*10+K$78),$A$21:$O$65,15,0))</f>
        <v>0</v>
      </c>
      <c r="L81" s="327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SQRT(SUM(Q81:Z81)/($K$1-1))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false" customHeight="true" outlineLevel="1" collapsed="false">
      <c r="A82" s="328"/>
      <c r="B82" s="236" t="n">
        <v>4</v>
      </c>
      <c r="C82" s="327" t="n">
        <f aca="false">IF(ISNA(VLOOKUP((10*C$78+$B82),$A$21:$O$65,15,0)),0,1/VLOOKUP((10*C$78+$B82),$A$21:$O$65,15,0))</f>
        <v>0</v>
      </c>
      <c r="D82" s="327" t="n">
        <f aca="false">IF(ISNA(VLOOKUP((10*D$78+$B82),$A$21:$O$65,15,0)),0,1/VLOOKUP((10*D$78+$B82),$A$21:$O$65,15,0))</f>
        <v>0</v>
      </c>
      <c r="E82" s="327" t="n">
        <f aca="false">IF(ISNA(VLOOKUP((10*E$78+$B82),$A$21:$O$65,15,0)),0,1/VLOOKUP((10*E$78+$B82),$A$21:$O$65,15,0))</f>
        <v>0</v>
      </c>
      <c r="F82" s="326" t="n">
        <v>1</v>
      </c>
      <c r="G82" s="327" t="n">
        <f aca="false">IF(ISNA(VLOOKUP(($B82*10+G$78),$A$21:$O$65,15,0)),0,VLOOKUP(($B82*10+G$78),$A$21:$O$65,15,0))</f>
        <v>0</v>
      </c>
      <c r="H82" s="327" t="n">
        <f aca="false">IF(ISNA(VLOOKUP(($B82*10+H$78),$A$21:$O$65,15,0)),0,VLOOKUP(($B82*10+H$78),$A$21:$O$65,15,0))</f>
        <v>0</v>
      </c>
      <c r="I82" s="327" t="n">
        <f aca="false">IF(ISNA(VLOOKUP(($B82*10+I$78),$A$21:$O$65,15,0)),0,VLOOKUP(($B82*10+I$78),$A$21:$O$65,15,0))</f>
        <v>0</v>
      </c>
      <c r="J82" s="327" t="n">
        <f aca="false">IF(ISNA(VLOOKUP(($B82*10+J$78),$A$21:$O$65,15,0)),0,VLOOKUP(($B82*10+J$78),$A$21:$O$65,15,0))</f>
        <v>0</v>
      </c>
      <c r="K82" s="327" t="n">
        <f aca="false">IF(ISNA(VLOOKUP(($B82*10+K$78),$A$21:$O$65,15,0)),0,VLOOKUP(($B82*10+K$78),$A$21:$O$65,15,0))</f>
        <v>0</v>
      </c>
      <c r="L82" s="327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SQRT(SUM(Q82:Z82)/($K$1-1))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false" customHeight="true" outlineLevel="1" collapsed="false">
      <c r="A83" s="328"/>
      <c r="B83" s="236" t="n">
        <v>5</v>
      </c>
      <c r="C83" s="327" t="n">
        <f aca="false">IF(ISNA(VLOOKUP((10*C$78+$B83),$A$21:$O$65,15,0)),0,1/VLOOKUP((10*C$78+$B83),$A$21:$O$65,15,0))</f>
        <v>0</v>
      </c>
      <c r="D83" s="327" t="n">
        <f aca="false">IF(ISNA(VLOOKUP((10*D$78+$B83),$A$21:$O$65,15,0)),0,1/VLOOKUP((10*D$78+$B83),$A$21:$O$65,15,0))</f>
        <v>0</v>
      </c>
      <c r="E83" s="327" t="n">
        <f aca="false">IF(ISNA(VLOOKUP((10*E$78+$B83),$A$21:$O$65,15,0)),0,1/VLOOKUP((10*E$78+$B83),$A$21:$O$65,15,0))</f>
        <v>0</v>
      </c>
      <c r="F83" s="327" t="n">
        <f aca="false">IF(ISNA(VLOOKUP((10*F$78+$B83),$A$21:$O$65,15,0)),0,1/VLOOKUP((10*F$78+$B83),$A$21:$O$65,15,0))</f>
        <v>0</v>
      </c>
      <c r="G83" s="326" t="n">
        <v>1</v>
      </c>
      <c r="H83" s="327" t="n">
        <f aca="false">IF(ISNA(VLOOKUP(($B83*10+H$78),$A$21:$O$65,15,0)),0,VLOOKUP(($B83*10+H$78),$A$21:$O$65,15,0))</f>
        <v>0</v>
      </c>
      <c r="I83" s="327" t="n">
        <f aca="false">IF(ISNA(VLOOKUP(($B83*10+I$78),$A$21:$O$65,15,0)),0,VLOOKUP(($B83*10+I$78),$A$21:$O$65,15,0))</f>
        <v>0</v>
      </c>
      <c r="J83" s="327" t="n">
        <f aca="false">IF(ISNA(VLOOKUP(($B83*10+J$78),$A$21:$O$65,15,0)),0,VLOOKUP(($B83*10+J$78),$A$21:$O$65,15,0))</f>
        <v>0</v>
      </c>
      <c r="K83" s="327" t="n">
        <f aca="false">IF(ISNA(VLOOKUP(($B83*10+K$78),$A$21:$O$65,15,0)),0,VLOOKUP(($B83*10+K$78),$A$21:$O$65,15,0))</f>
        <v>0</v>
      </c>
      <c r="L83" s="327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SQRT(SUM(Q83:Z83)/($K$1-1))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false" customHeight="true" outlineLevel="1" collapsed="false">
      <c r="A84" s="328"/>
      <c r="B84" s="236" t="n">
        <v>6</v>
      </c>
      <c r="C84" s="327" t="n">
        <f aca="false">IF(ISNA(VLOOKUP((10*C$78+$B84),$A$21:$O$65,15,0)),0,1/VLOOKUP((10*C$78+$B84),$A$21:$O$65,15,0))</f>
        <v>0</v>
      </c>
      <c r="D84" s="327" t="n">
        <f aca="false">IF(ISNA(VLOOKUP((10*D$78+$B84),$A$21:$O$65,15,0)),0,1/VLOOKUP((10*D$78+$B84),$A$21:$O$65,15,0))</f>
        <v>0</v>
      </c>
      <c r="E84" s="327" t="n">
        <f aca="false">IF(ISNA(VLOOKUP((10*E$78+$B84),$A$21:$O$65,15,0)),0,1/VLOOKUP((10*E$78+$B84),$A$21:$O$65,15,0))</f>
        <v>0</v>
      </c>
      <c r="F84" s="327" t="n">
        <f aca="false">IF(ISNA(VLOOKUP((10*F$78+$B84),$A$21:$O$65,15,0)),0,1/VLOOKUP((10*F$78+$B84),$A$21:$O$65,15,0))</f>
        <v>0</v>
      </c>
      <c r="G84" s="327" t="n">
        <f aca="false">IF(ISNA(VLOOKUP((10*G$78+$B84),$A$21:$O$65,15,0)),0,1/VLOOKUP((10*G$78+$B84),$A$21:$O$65,15,0))</f>
        <v>0</v>
      </c>
      <c r="H84" s="326" t="n">
        <v>1</v>
      </c>
      <c r="I84" s="327" t="n">
        <f aca="false">IF(ISNA(VLOOKUP(($B84*10+I$78),$A$21:$O$65,15,0)),0,VLOOKUP(($B84*10+I$78),$A$21:$O$65,15,0))</f>
        <v>0</v>
      </c>
      <c r="J84" s="327" t="n">
        <f aca="false">IF(ISNA(VLOOKUP(($B84*10+J$78),$A$21:$O$65,15,0)),0,VLOOKUP(($B84*10+J$78),$A$21:$O$65,15,0))</f>
        <v>0</v>
      </c>
      <c r="K84" s="327" t="n">
        <f aca="false">IF(ISNA(VLOOKUP(($B84*10+K$78),$A$21:$O$65,15,0)),0,VLOOKUP(($B84*10+K$78),$A$21:$O$65,15,0))</f>
        <v>0</v>
      </c>
      <c r="L84" s="327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SQRT(SUM(Q84:Z84)/($K$1-1))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false" customHeight="true" outlineLevel="1" collapsed="false">
      <c r="A85" s="328"/>
      <c r="B85" s="236" t="n">
        <v>7</v>
      </c>
      <c r="C85" s="327" t="n">
        <f aca="false">IF(ISNA(VLOOKUP((10*C$78+$B85),$A$21:$O$65,15,0)),0,1/VLOOKUP((10*C$78+$B85),$A$21:$O$65,15,0))</f>
        <v>0</v>
      </c>
      <c r="D85" s="327" t="n">
        <f aca="false">IF(ISNA(VLOOKUP((10*D$78+$B85),$A$21:$O$65,15,0)),0,1/VLOOKUP((10*D$78+$B85),$A$21:$O$65,15,0))</f>
        <v>0</v>
      </c>
      <c r="E85" s="327" t="n">
        <f aca="false">IF(ISNA(VLOOKUP((10*E$78+$B85),$A$21:$O$65,15,0)),0,1/VLOOKUP((10*E$78+$B85),$A$21:$O$65,15,0))</f>
        <v>0</v>
      </c>
      <c r="F85" s="327" t="n">
        <f aca="false">IF(ISNA(VLOOKUP((10*F$78+$B85),$A$21:$O$65,15,0)),0,1/VLOOKUP((10*F$78+$B85),$A$21:$O$65,15,0))</f>
        <v>0</v>
      </c>
      <c r="G85" s="327" t="n">
        <f aca="false">IF(ISNA(VLOOKUP((10*G$78+$B85),$A$21:$O$65,15,0)),0,1/VLOOKUP((10*G$78+$B85),$A$21:$O$65,15,0))</f>
        <v>0</v>
      </c>
      <c r="H85" s="327" t="n">
        <f aca="false">IF(ISNA(VLOOKUP((10*H$78+$B85),$A$21:$O$65,15,0)),0,1/VLOOKUP((10*H$78+$B85),$A$21:$O$65,15,0))</f>
        <v>0</v>
      </c>
      <c r="I85" s="326" t="n">
        <v>1</v>
      </c>
      <c r="J85" s="327" t="n">
        <f aca="false">IF(ISNA(VLOOKUP(($B85*10+J$78),$A$21:$O$65,15,0)),0,VLOOKUP(($B85*10+J$78),$A$21:$O$65,15,0))</f>
        <v>0</v>
      </c>
      <c r="K85" s="327" t="n">
        <f aca="false">IF(ISNA(VLOOKUP(($B85*10+K$78),$A$21:$O$65,15,0)),0,VLOOKUP(($B85*10+K$78),$A$21:$O$65,15,0))</f>
        <v>0</v>
      </c>
      <c r="L85" s="327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SQRT(SUM(Q85:Z85)/($K$1-1))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false" customHeight="true" outlineLevel="1" collapsed="false">
      <c r="A86" s="328"/>
      <c r="B86" s="236" t="n">
        <v>8</v>
      </c>
      <c r="C86" s="327" t="n">
        <f aca="false">IF(ISNA(VLOOKUP((10*C$78+$B86),$A$21:$O$65,15,0)),0,1/VLOOKUP((10*C$78+$B86),$A$21:$O$65,15,0))</f>
        <v>0</v>
      </c>
      <c r="D86" s="327" t="n">
        <f aca="false">IF(ISNA(VLOOKUP((10*D$78+$B86),$A$21:$O$65,15,0)),0,1/VLOOKUP((10*D$78+$B86),$A$21:$O$65,15,0))</f>
        <v>0</v>
      </c>
      <c r="E86" s="327" t="n">
        <f aca="false">IF(ISNA(VLOOKUP((10*E$78+$B86),$A$21:$O$65,15,0)),0,1/VLOOKUP((10*E$78+$B86),$A$21:$O$65,15,0))</f>
        <v>0</v>
      </c>
      <c r="F86" s="327" t="n">
        <f aca="false">IF(ISNA(VLOOKUP((10*F$78+$B86),$A$21:$O$65,15,0)),0,1/VLOOKUP((10*F$78+$B86),$A$21:$O$65,15,0))</f>
        <v>0</v>
      </c>
      <c r="G86" s="327" t="n">
        <f aca="false">IF(ISNA(VLOOKUP((10*G$78+$B86),$A$21:$O$65,15,0)),0,1/VLOOKUP((10*G$78+$B86),$A$21:$O$65,15,0))</f>
        <v>0</v>
      </c>
      <c r="H86" s="327" t="n">
        <f aca="false">IF(ISNA(VLOOKUP((10*H$78+$B86),$A$21:$O$65,15,0)),0,1/VLOOKUP((10*H$78+$B86),$A$21:$O$65,15,0))</f>
        <v>0</v>
      </c>
      <c r="I86" s="327" t="n">
        <f aca="false">IF(ISNA(VLOOKUP((10*I$78+$B86),$A$21:$O$65,15,0)),0,1/VLOOKUP((10*I$78+$B86),$A$21:$O$65,15,0))</f>
        <v>0</v>
      </c>
      <c r="J86" s="326" t="n">
        <v>1</v>
      </c>
      <c r="K86" s="327" t="n">
        <f aca="false">IF(ISNA(VLOOKUP(($B86*10+K$78),$A$21:$O$65,15,0)),0,VLOOKUP(($B86*10+K$78),$A$21:$O$65,15,0))</f>
        <v>0</v>
      </c>
      <c r="L86" s="327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SQRT(SUM(Q86:Z86)/($K$1-1))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false" customHeight="true" outlineLevel="1" collapsed="false">
      <c r="A87" s="177"/>
      <c r="B87" s="236" t="n">
        <v>9</v>
      </c>
      <c r="C87" s="327" t="n">
        <f aca="false">IF(ISNA(VLOOKUP((10*C$78+$B87),$A$21:$O$65,15,0)),0,1/VLOOKUP((10*C$78+$B87),$A$21:$O$65,15,0))</f>
        <v>0</v>
      </c>
      <c r="D87" s="327" t="n">
        <f aca="false">IF(ISNA(VLOOKUP((10*D$78+$B87),$A$21:$O$65,15,0)),0,1/VLOOKUP((10*D$78+$B87),$A$21:$O$65,15,0))</f>
        <v>0</v>
      </c>
      <c r="E87" s="327" t="n">
        <f aca="false">IF(ISNA(VLOOKUP((10*E$78+$B87),$A$21:$O$65,15,0)),0,1/VLOOKUP((10*E$78+$B87),$A$21:$O$65,15,0))</f>
        <v>0</v>
      </c>
      <c r="F87" s="327" t="n">
        <f aca="false">IF(ISNA(VLOOKUP((10*F$78+$B87),$A$21:$O$65,15,0)),0,1/VLOOKUP((10*F$78+$B87),$A$21:$O$65,15,0))</f>
        <v>0</v>
      </c>
      <c r="G87" s="327" t="n">
        <f aca="false">IF(ISNA(VLOOKUP((10*G$78+$B87),$A$21:$O$65,15,0)),0,1/VLOOKUP((10*G$78+$B87),$A$21:$O$65,15,0))</f>
        <v>0</v>
      </c>
      <c r="H87" s="327" t="n">
        <f aca="false">IF(ISNA(VLOOKUP((10*H$78+$B87),$A$21:$O$65,15,0)),0,1/VLOOKUP((10*H$78+$B87),$A$21:$O$65,15,0))</f>
        <v>0</v>
      </c>
      <c r="I87" s="327" t="n">
        <f aca="false">IF(ISNA(VLOOKUP((10*I$78+$B87),$A$21:$O$65,15,0)),0,1/VLOOKUP((10*I$78+$B87),$A$21:$O$65,15,0))</f>
        <v>0</v>
      </c>
      <c r="J87" s="327" t="n">
        <f aca="false">IF(ISNA(VLOOKUP((10*J$78+$B87),$A$21:$O$65,15,0)),0,1/VLOOKUP((10*J$78+$B87),$A$21:$O$65,15,0))</f>
        <v>0</v>
      </c>
      <c r="K87" s="326" t="n">
        <v>1</v>
      </c>
      <c r="L87" s="138" t="n">
        <f aca="false">IF(ISNA(VLOOKUP(($B87*10+L$78),$A$21:$O$65,15,0)),0,VLOOKUP(($B87*10+L$78),$A$21:$O$65,15,0))</f>
        <v>0</v>
      </c>
      <c r="M87" s="108"/>
      <c r="N87" s="168"/>
      <c r="P87" s="327" t="n">
        <f aca="false">SQRT(SUM(Q87:Z87)/($K$1-1))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false" customHeight="false" outlineLevel="1" collapsed="false">
      <c r="A88" s="177"/>
      <c r="B88" s="236" t="n">
        <v>10</v>
      </c>
      <c r="C88" s="327" t="n">
        <f aca="false">IF(ISNA(VLOOKUP((10*C$78+$B88),$A$21:$O$65,15,0)),0,1/VLOOKUP((10*C$78+$B88),$A$21:$O$65,15,0))</f>
        <v>0</v>
      </c>
      <c r="D88" s="327" t="n">
        <f aca="false">IF(ISNA(VLOOKUP((10*D$78+$B88),$A$21:$O$65,15,0)),0,1/VLOOKUP((10*D$78+$B88),$A$21:$O$65,15,0))</f>
        <v>0</v>
      </c>
      <c r="E88" s="327" t="n">
        <f aca="false">IF(ISNA(VLOOKUP((10*E$78+$B88),$A$21:$O$65,15,0)),0,1/VLOOKUP((10*E$78+$B88),$A$21:$O$65,15,0))</f>
        <v>0</v>
      </c>
      <c r="F88" s="327" t="n">
        <f aca="false">IF(ISNA(VLOOKUP((10*F$78+$B88),$A$21:$O$65,15,0)),0,1/VLOOKUP((10*F$78+$B88),$A$21:$O$65,15,0))</f>
        <v>0</v>
      </c>
      <c r="G88" s="327" t="n">
        <f aca="false">IF(ISNA(VLOOKUP((10*G$78+$B88),$A$21:$O$65,15,0)),0,1/VLOOKUP((10*G$78+$B88),$A$21:$O$65,15,0))</f>
        <v>0</v>
      </c>
      <c r="H88" s="327" t="n">
        <f aca="false">IF(ISNA(VLOOKUP((10*H$78+$B88),$A$21:$O$65,15,0)),0,1/VLOOKUP((10*H$78+$B88),$A$21:$O$65,15,0))</f>
        <v>0</v>
      </c>
      <c r="I88" s="327" t="n">
        <f aca="false">IF(ISNA(VLOOKUP((10*I$78+$B88),$A$21:$O$65,15,0)),0,1/VLOOKUP((10*I$78+$B88),$A$21:$O$65,15,0))</f>
        <v>0</v>
      </c>
      <c r="J88" s="327" t="n">
        <f aca="false">IF(ISNA(VLOOKUP((10*J$78+$B88),$A$21:$O$65,15,0)),0,1/VLOOKUP((10*J$78+$B88),$A$21:$O$65,15,0))</f>
        <v>0</v>
      </c>
      <c r="K88" s="327" t="n">
        <f aca="false">IF(ISNA(VLOOKUP((10*K$78+$B88),$A$21:$O$65,15,0)),0,1/VLOOKUP((10*K$78+$B88),$A$21:$O$65,15,0))</f>
        <v>0</v>
      </c>
      <c r="L88" s="326" t="n">
        <v>1</v>
      </c>
      <c r="M88" s="108"/>
      <c r="N88" s="168"/>
      <c r="P88" s="327" t="n">
        <f aca="false">SQRT(SUM(Q88:Z88)/($K$1-1))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false" customHeight="false" outlineLevel="1" collapsed="false">
      <c r="A89" s="177"/>
      <c r="B89" s="115" t="s">
        <v>146</v>
      </c>
      <c r="C89" s="327" t="n">
        <f aca="false">SUM(C79:C88)</f>
        <v>2</v>
      </c>
      <c r="D89" s="327" t="n">
        <f aca="false">SUM(D79:D88)</f>
        <v>2</v>
      </c>
      <c r="E89" s="327" t="n">
        <f aca="false">SUM(E79:E88)</f>
        <v>1</v>
      </c>
      <c r="F89" s="327" t="n">
        <f aca="false">SUM(F79:F88)</f>
        <v>1</v>
      </c>
      <c r="G89" s="327" t="n">
        <f aca="false">SUM(G79:G88)</f>
        <v>1</v>
      </c>
      <c r="H89" s="327" t="n">
        <f aca="false">SUM(H79:H88)</f>
        <v>1</v>
      </c>
      <c r="I89" s="327" t="n">
        <f aca="false">SUM(I79:I88)</f>
        <v>1</v>
      </c>
      <c r="J89" s="327" t="n">
        <f aca="false">SUM(J79:J88)</f>
        <v>1</v>
      </c>
      <c r="K89" s="327" t="n">
        <f aca="false">SUM(K79:K88)</f>
        <v>1</v>
      </c>
      <c r="L89" s="327" t="n">
        <f aca="false">SUM(L79:L88)</f>
        <v>1</v>
      </c>
      <c r="M89" s="108"/>
      <c r="N89" s="168"/>
      <c r="P89" s="327" t="n">
        <f aca="false">SQRT(SUM(Q89:Z89)/($K$1-1))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fals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</row>
    <row r="91" customFormat="false" ht="12.8" hidden="fals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32" t="n">
        <f aca="false">IF(B91&lt;=K$1,M91/M$101,0)</f>
        <v>0.5</v>
      </c>
      <c r="O91" s="332" t="n">
        <f aca="false">N91*COSH(P79)</f>
        <v>0.5</v>
      </c>
      <c r="P91" s="333"/>
    </row>
    <row r="92" customFormat="false" ht="12.8" hidden="fals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32" t="n">
        <f aca="false">IF(B92&lt;=K$1,M92/M$101,0)</f>
        <v>0.5</v>
      </c>
      <c r="O92" s="332" t="n">
        <f aca="false">N92*COSH(P80)</f>
        <v>0.5</v>
      </c>
      <c r="P92" s="333"/>
    </row>
    <row r="93" customFormat="false" ht="12.75" hidden="fals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32" t="n">
        <f aca="false">IF(B93&lt;=K$1,M93/M$101,0)</f>
        <v>0</v>
      </c>
      <c r="O93" s="332" t="n">
        <f aca="false">N93*COSH(P81)</f>
        <v>0</v>
      </c>
      <c r="P93" s="333"/>
    </row>
    <row r="94" customFormat="false" ht="12.8" hidden="fals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32" t="n">
        <f aca="false">IF(B94&lt;=K$1,M94/M$101,0)</f>
        <v>0</v>
      </c>
      <c r="O94" s="332" t="n">
        <f aca="false">N94*COSH(P82)</f>
        <v>0</v>
      </c>
      <c r="P94" s="333"/>
    </row>
    <row r="95" customFormat="false" ht="12.8" hidden="fals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32" t="n">
        <f aca="false">IF(B95&lt;=K$1,M95/M$101,0)</f>
        <v>0</v>
      </c>
      <c r="O95" s="332" t="n">
        <f aca="false">N95*COSH(P83)</f>
        <v>0</v>
      </c>
      <c r="P95" s="333"/>
    </row>
    <row r="96" customFormat="false" ht="12.8" hidden="fals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32" t="n">
        <f aca="false">IF(B96&lt;=K$1,M96/M$101,0)</f>
        <v>0</v>
      </c>
      <c r="O96" s="333" t="n">
        <f aca="false">N96*COSH(P84)</f>
        <v>0</v>
      </c>
      <c r="P96" s="333"/>
    </row>
    <row r="97" customFormat="false" ht="12.8" hidden="fals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32" t="n">
        <f aca="false">IF(B97&lt;=K$1,M97/M$101,0)</f>
        <v>0</v>
      </c>
      <c r="O97" s="333" t="n">
        <f aca="false">N97*COSH(P85)</f>
        <v>0</v>
      </c>
      <c r="P97" s="333"/>
    </row>
    <row r="98" customFormat="false" ht="12.8" hidden="fals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32" t="n">
        <f aca="false">IF(B98&lt;=K$1,M98/M$101,0)</f>
        <v>0</v>
      </c>
      <c r="O98" s="333" t="n">
        <f aca="false">N98*COSH(P86)</f>
        <v>0</v>
      </c>
      <c r="P98" s="333"/>
    </row>
    <row r="99" customFormat="false" ht="12.8" hidden="fals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32" t="n">
        <f aca="false">IF(B99&lt;=K$1,M99/M$101,0)</f>
        <v>0</v>
      </c>
      <c r="O99" s="333" t="n">
        <f aca="false">N99*COSH(P87)</f>
        <v>0</v>
      </c>
      <c r="P99" s="333"/>
    </row>
    <row r="100" customFormat="false" ht="12.8" hidden="fals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32" t="n">
        <f aca="false">IF(B100&lt;=K$1,M100/M$101,0)</f>
        <v>0</v>
      </c>
      <c r="O100" s="333" t="n">
        <f aca="false">N100*COSH(P88)</f>
        <v>0</v>
      </c>
      <c r="P100" s="333"/>
    </row>
    <row r="101" customFormat="false" ht="12.75" hidden="fals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</row>
    <row r="102" customFormat="false" ht="12.75" hidden="fals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  <c r="Q102" s="236"/>
      <c r="R102" s="236"/>
      <c r="S102" s="236"/>
      <c r="T102" s="236"/>
      <c r="U102" s="236"/>
      <c r="V102" s="236"/>
      <c r="W102" s="236"/>
      <c r="X102" s="236"/>
      <c r="Y102" s="236"/>
      <c r="Z102" s="236"/>
    </row>
    <row r="103" customFormat="false" ht="12.75" hidden="fals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  <c r="Q103" s="338"/>
      <c r="R103" s="236"/>
      <c r="S103" s="236"/>
      <c r="T103" s="236"/>
      <c r="U103" s="236"/>
      <c r="V103" s="236"/>
      <c r="W103" s="236"/>
      <c r="X103" s="236"/>
      <c r="Y103" s="236"/>
      <c r="Z103" s="236"/>
    </row>
    <row r="104" customFormat="false" ht="12.75" hidden="fals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  <c r="Q104" s="338"/>
      <c r="R104" s="338"/>
      <c r="S104" s="236"/>
      <c r="T104" s="236"/>
      <c r="U104" s="236"/>
      <c r="V104" s="236"/>
      <c r="W104" s="236"/>
      <c r="X104" s="236"/>
      <c r="Y104" s="236"/>
      <c r="Z104" s="236"/>
    </row>
    <row r="105" customFormat="false" ht="12.75" hidden="fals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  <c r="Q105" s="338"/>
      <c r="R105" s="338"/>
      <c r="S105" s="338"/>
      <c r="T105" s="236"/>
      <c r="U105" s="236"/>
      <c r="V105" s="236"/>
      <c r="W105" s="236"/>
      <c r="X105" s="236"/>
      <c r="Y105" s="236"/>
      <c r="Z105" s="236"/>
    </row>
    <row r="106" customFormat="false" ht="12.75" hidden="fals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  <c r="Q106" s="338"/>
      <c r="R106" s="338"/>
      <c r="S106" s="338"/>
      <c r="T106" s="338"/>
      <c r="U106" s="236"/>
      <c r="V106" s="236"/>
      <c r="W106" s="236"/>
      <c r="X106" s="236"/>
      <c r="Y106" s="236"/>
      <c r="Z106" s="236"/>
    </row>
    <row r="107" customFormat="false" ht="12.75" hidden="fals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  <c r="Q107" s="338"/>
      <c r="R107" s="338"/>
      <c r="S107" s="338"/>
      <c r="T107" s="338"/>
      <c r="U107" s="338"/>
      <c r="V107" s="236"/>
      <c r="W107" s="236"/>
      <c r="X107" s="236"/>
      <c r="Y107" s="236"/>
      <c r="Z107" s="236"/>
    </row>
    <row r="108" customFormat="false" ht="12.75" hidden="fals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  <c r="Q108" s="338"/>
      <c r="R108" s="338"/>
      <c r="S108" s="338"/>
      <c r="T108" s="338"/>
      <c r="U108" s="338"/>
      <c r="V108" s="338"/>
      <c r="W108" s="236"/>
      <c r="X108" s="236"/>
      <c r="Y108" s="236"/>
      <c r="Z108" s="236"/>
    </row>
    <row r="109" customFormat="false" ht="12.75" hidden="fals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  <c r="Q109" s="338"/>
      <c r="R109" s="338"/>
      <c r="S109" s="338"/>
      <c r="T109" s="338"/>
      <c r="U109" s="338"/>
      <c r="V109" s="338"/>
      <c r="W109" s="338"/>
      <c r="X109" s="236"/>
      <c r="Y109" s="236"/>
      <c r="Z109" s="236"/>
    </row>
    <row r="110" customFormat="false" ht="12.75" hidden="fals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  <c r="Q110" s="338"/>
      <c r="R110" s="338"/>
      <c r="S110" s="338"/>
      <c r="T110" s="338"/>
      <c r="U110" s="338"/>
      <c r="V110" s="338"/>
      <c r="W110" s="338"/>
      <c r="X110" s="338"/>
      <c r="Y110" s="236"/>
      <c r="Z110" s="236"/>
    </row>
    <row r="111" customFormat="false" ht="12.75" hidden="fals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  <c r="Q111" s="338"/>
      <c r="R111" s="338"/>
      <c r="S111" s="338"/>
      <c r="T111" s="338"/>
      <c r="U111" s="338"/>
      <c r="V111" s="338"/>
      <c r="W111" s="338"/>
      <c r="X111" s="338"/>
      <c r="Y111" s="338"/>
      <c r="Z111" s="236"/>
    </row>
    <row r="112" customFormat="false" ht="12.75" hidden="fals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fals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fals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fals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fals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fals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fals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fals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fals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fals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fals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fals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fals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fals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fals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fals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fals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fals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fals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fals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fals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fals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30">
      <formula>"n/a"</formula>
    </cfRule>
  </conditionalFormatting>
  <conditionalFormatting sqref="K27:L27">
    <cfRule type="cellIs" priority="3" operator="equal" aboveAverage="0" equalAverage="0" bottom="0" percent="0" rank="0" text="" dxfId="31">
      <formula>""" """</formula>
    </cfRule>
  </conditionalFormatting>
  <conditionalFormatting sqref="C86:I86 C85:H85 C84:G84 C83:F83 C82:E82 C81:D81 D79:L79 F81:L81 G82:L82 H83:L83 I84:L84 E79:L80 J80:L85 K86:L86 L87 D81:D88 E82:E88 F83:F88 G84:G88 H85:H88 I86:I88 J87:J88 K88 C80:C88">
    <cfRule type="cellIs" priority="4" operator="notEqual" aboveAverage="0" equalAverage="0" bottom="0" percent="0" rank="0" text="" dxfId="32">
      <formula>0</formula>
    </cfRule>
  </conditionalFormatting>
  <conditionalFormatting sqref="M21:M65">
    <cfRule type="cellIs" priority="5" operator="greaterThan" aboveAverage="0" equalAverage="0" bottom="0" percent="0" rank="0" text="" dxfId="33">
      <formula>3</formula>
    </cfRule>
    <cfRule type="cellIs" priority="6" operator="equal" aboveAverage="0" equalAverage="0" bottom="0" percent="0" rank="0" text="" dxfId="34">
      <formula>3</formula>
    </cfRule>
    <cfRule type="cellIs" priority="7" operator="equal" aboveAverage="0" equalAverage="0" bottom="0" percent="0" rank="0" text="" dxfId="35">
      <formula>2</formula>
    </cfRule>
    <cfRule type="cellIs" priority="8" operator="equal" aboveAverage="0" equalAverage="0" bottom="0" percent="0" rank="0" text="" dxfId="36">
      <formula>1</formula>
    </cfRule>
  </conditionalFormatting>
  <conditionalFormatting sqref="C87:J88 D88:K88">
    <cfRule type="cellIs" priority="9" operator="notEqual" aboveAverage="0" equalAverage="0" bottom="0" percent="0" rank="0" text="" dxfId="37">
      <formula>0</formula>
    </cfRule>
  </conditionalFormatting>
  <conditionalFormatting sqref="J87:J88 K88">
    <cfRule type="cellIs" priority="10" operator="notEqual" aboveAverage="0" equalAverage="0" bottom="0" percent="0" rank="0" text="" dxfId="38">
      <formula>0</formula>
    </cfRule>
  </conditionalFormatting>
  <conditionalFormatting sqref="K88">
    <cfRule type="cellIs" priority="11" operator="notEqual" aboveAverage="0" equalAverage="0" bottom="0" percent="0" rank="0" text="" dxfId="39">
      <formula>0</formula>
    </cfRule>
  </conditionalFormatting>
  <conditionalFormatting sqref="K21:L65">
    <cfRule type="expression" priority="12" aboveAverage="0" equalAverage="0" bottom="0" percent="0" rank="0" text="" dxfId="40">
      <formula>AND($A21&gt;0,OR($K21="",$L21=""))</formula>
    </cfRule>
    <cfRule type="expression" priority="13" aboveAverage="0" equalAverage="0" bottom="0" percent="0" rank="0" text="" dxfId="41">
      <formula>($A21=0)</formula>
    </cfRule>
  </conditionalFormatting>
  <conditionalFormatting sqref="C88:K88">
    <cfRule type="cellIs" priority="14" operator="notEqual" aboveAverage="0" equalAverage="0" bottom="0" percent="0" rank="0" text="" dxfId="42">
      <formula>0</formula>
    </cfRule>
  </conditionalFormatting>
  <conditionalFormatting sqref="D81:D88 E82:E88 F83:F88 G84:G88 H85:H88 I86:I88 J87:J88 K88 C80:C88">
    <cfRule type="cellIs" priority="15" operator="notEqual" aboveAverage="0" equalAverage="0" bottom="0" percent="0" rank="0" text="" dxfId="43">
      <formula>0</formula>
    </cfRule>
  </conditionalFormatting>
  <conditionalFormatting sqref="D81:D88 E82:E88 F83:F88 G84:G88 H85:H88 I86:I88 J87:J88 K88 C80:C88">
    <cfRule type="cellIs" priority="16" operator="notEqual" aboveAverage="0" equalAverage="0" bottom="0" percent="0" rank="0" text="" dxfId="44">
      <formula>0</formula>
    </cfRule>
  </conditionalFormatting>
  <conditionalFormatting sqref="G17">
    <cfRule type="expression" priority="17" aboveAverage="0" equalAverage="0" bottom="0" percent="0" rank="0" text="" dxfId="45">
      <formula>ISBLANK($G$17)</formula>
    </cfRule>
  </conditionalFormatting>
  <conditionalFormatting sqref="C102:L111">
    <cfRule type="cellIs" priority="18" operator="equal" aboveAverage="0" equalAverage="0" bottom="0" percent="0" rank="0" text="" dxfId="46">
      <formula>0</formula>
    </cfRule>
    <cfRule type="colorScale" priority="19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C91:L100">
    <cfRule type="cellIs" priority="20" operator="equal" aboveAverage="0" equalAverage="0" bottom="0" percent="0" rank="0" text="" dxfId="47">
      <formula>0</formula>
    </cfRule>
  </conditionalFormatting>
  <conditionalFormatting sqref="N91:N100">
    <cfRule type="cellIs" priority="21" operator="equal" aboveAverage="0" equalAverage="0" bottom="0" percent="0" rank="0" text="" dxfId="48">
      <formula>0</formula>
    </cfRule>
  </conditionalFormatting>
  <conditionalFormatting sqref="B6:F15">
    <cfRule type="expression" priority="22" aboveAverage="0" equalAverage="0" bottom="0" percent="0" rank="0" text="" dxfId="49">
      <formula>$B6&lt;&gt;""</formula>
    </cfRule>
  </conditionalFormatting>
  <conditionalFormatting sqref="B17">
    <cfRule type="expression" priority="23" aboveAverage="0" equalAverage="0" bottom="0" percent="0" rank="0" text="" dxfId="50">
      <formula>ISBLANK($B$17)</formula>
    </cfRule>
  </conditionalFormatting>
  <conditionalFormatting sqref="G6:N15">
    <cfRule type="expression" priority="24" aboveAverage="0" equalAverage="0" bottom="0" percent="0" rank="0" text="" dxfId="51">
      <formula>$B6&lt;&gt;""</formula>
    </cfRule>
  </conditionalFormatting>
  <conditionalFormatting sqref="M17">
    <cfRule type="expression" priority="25" aboveAverage="0" equalAverage="0" bottom="0" percent="0" rank="0" text="" dxfId="52">
      <formula>$M$17&gt;$K$17</formula>
    </cfRule>
  </conditionalFormatting>
  <conditionalFormatting sqref="Q102:Z111">
    <cfRule type="cellIs" priority="26" operator="equal" aboveAverage="0" equalAverage="0" bottom="0" percent="0" rank="0" text="" dxfId="53">
      <formula>0</formula>
    </cfRule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8" operator="notEqual" aboveAverage="0" equalAverage="0" bottom="0" percent="0" rank="0" text="" dxfId="54">
      <formula>0</formula>
    </cfRule>
  </conditionalFormatting>
  <conditionalFormatting sqref="Q87:X88 Y88">
    <cfRule type="cellIs" priority="29" operator="notEqual" aboveAverage="0" equalAverage="0" bottom="0" percent="0" rank="0" text="" dxfId="55">
      <formula>0</formula>
    </cfRule>
  </conditionalFormatting>
  <conditionalFormatting sqref="X87:X88 Y88">
    <cfRule type="cellIs" priority="30" operator="notEqual" aboveAverage="0" equalAverage="0" bottom="0" percent="0" rank="0" text="" dxfId="56">
      <formula>0</formula>
    </cfRule>
  </conditionalFormatting>
  <conditionalFormatting sqref="Y88">
    <cfRule type="cellIs" priority="31" operator="notEqual" aboveAverage="0" equalAverage="0" bottom="0" percent="0" rank="0" text="" dxfId="57">
      <formula>0</formula>
    </cfRule>
  </conditionalFormatting>
  <conditionalFormatting sqref="Q88:Y88">
    <cfRule type="cellIs" priority="32" operator="notEqual" aboveAverage="0" equalAverage="0" bottom="0" percent="0" rank="0" text="" dxfId="58">
      <formula>0</formula>
    </cfRule>
  </conditionalFormatting>
  <conditionalFormatting sqref="R81:R88 S82:S88 T83:T88 U84:U88 V85:V88 W86:W88 X87:X88 Y88 Q80:Q88">
    <cfRule type="cellIs" priority="33" operator="notEqual" aboveAverage="0" equalAverage="0" bottom="0" percent="0" rank="0" text="" dxfId="59">
      <formula>0</formula>
    </cfRule>
  </conditionalFormatting>
  <conditionalFormatting sqref="R81:R88 S82:S88 T83:T88 U84:U88 V85:V88 W86:W88 X87:X88 Y88 Q80:Q88">
    <cfRule type="cellIs" priority="34" operator="notEqual" aboveAverage="0" equalAverage="0" bottom="0" percent="0" rank="0" text="" dxfId="60">
      <formula>0</formula>
    </cfRule>
  </conditionalFormatting>
  <conditionalFormatting sqref="P6:P15">
    <cfRule type="colorScale" priority="35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6" operator="equal" aboveAverage="0" equalAverage="0" bottom="0" percent="0" rank="0" text="" dxfId="61">
      <formula>0</formula>
    </cfRule>
  </conditionalFormatting>
  <conditionalFormatting sqref="O6:O15">
    <cfRule type="colorScale" priority="37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8" operator="lessThan" aboveAverage="0" equalAverage="0" bottom="0" percent="0" rank="0" text="" dxfId="62">
      <formula>0.00001</formula>
    </cfRule>
  </conditionalFormatting>
  <conditionalFormatting sqref="O91:P100">
    <cfRule type="cellIs" priority="39" operator="equal" aboveAverage="0" equalAverage="0" bottom="0" percent="0" rank="0" text="" dxfId="63">
      <formula>0</formula>
    </cfRule>
  </conditionalFormatting>
  <dataValidations count="3"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26" min="15" style="0" width="5.7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2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150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100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2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4" t="n">
        <f aca="false">IF(B91&lt;=K$1,M91/M$101,0)</f>
        <v>0.5</v>
      </c>
      <c r="O91" s="333" t="n">
        <f aca="false">N91*COSH(P79)</f>
        <v>0.5</v>
      </c>
      <c r="P91" s="333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4" t="n">
        <f aca="false">IF(B92&lt;=K$1,M92/M$101,0)</f>
        <v>0.5</v>
      </c>
      <c r="O92" s="333" t="n">
        <f aca="false">N92*COSH(P80)</f>
        <v>0.5</v>
      </c>
      <c r="P92" s="333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4" t="n">
        <f aca="false">IF(B93&lt;=K$1,M93/M$101,0)</f>
        <v>0</v>
      </c>
      <c r="O93" s="333" t="n">
        <f aca="false">N93*COSH(P81)</f>
        <v>0</v>
      </c>
      <c r="P93" s="333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4" t="n">
        <f aca="false">IF(B94&lt;=K$1,M94/M$101,0)</f>
        <v>0</v>
      </c>
      <c r="O94" s="333" t="n">
        <f aca="false">N94*COSH(P82)</f>
        <v>0</v>
      </c>
      <c r="P94" s="333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4" t="n">
        <f aca="false">IF(B95&lt;=K$1,M95/M$101,0)</f>
        <v>0</v>
      </c>
      <c r="O95" s="333" t="n">
        <f aca="false">N95*COSH(P83)</f>
        <v>0</v>
      </c>
      <c r="P95" s="333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4" t="n">
        <f aca="false">IF(B96&lt;=K$1,M96/M$101,0)</f>
        <v>0</v>
      </c>
      <c r="O96" s="333" t="n">
        <f aca="false">N96*COSH(P84)</f>
        <v>0</v>
      </c>
      <c r="P96" s="333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4" t="n">
        <f aca="false">IF(B97&lt;=K$1,M97/M$101,0)</f>
        <v>0</v>
      </c>
      <c r="O97" s="333" t="n">
        <f aca="false">N97*COSH(P85)</f>
        <v>0</v>
      </c>
      <c r="P97" s="333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4" t="n">
        <f aca="false">IF(B98&lt;=K$1,M98/M$101,0)</f>
        <v>0</v>
      </c>
      <c r="O98" s="333" t="n">
        <f aca="false">N98*COSH(P86)</f>
        <v>0</v>
      </c>
      <c r="P98" s="333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4" t="n">
        <f aca="false">IF(B99&lt;=K$1,M99/M$101,0)</f>
        <v>0</v>
      </c>
      <c r="O99" s="333" t="n">
        <f aca="false">N99*COSH(P87)</f>
        <v>0</v>
      </c>
      <c r="P99" s="333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4" t="n">
        <f aca="false">IF(B100&lt;=K$1,M100/M$101,0)</f>
        <v>0</v>
      </c>
      <c r="O100" s="333" t="n">
        <f aca="false">N100*COSH(P88)</f>
        <v>0</v>
      </c>
      <c r="P100" s="333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64">
      <formula>"n/a"</formula>
    </cfRule>
  </conditionalFormatting>
  <conditionalFormatting sqref="K27:L27">
    <cfRule type="cellIs" priority="3" operator="equal" aboveAverage="0" equalAverage="0" bottom="0" percent="0" rank="0" text="" dxfId="65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66">
      <formula>0</formula>
    </cfRule>
  </conditionalFormatting>
  <conditionalFormatting sqref="C87:J88 K88">
    <cfRule type="cellIs" priority="5" operator="notEqual" aboveAverage="0" equalAverage="0" bottom="0" percent="0" rank="0" text="" dxfId="67">
      <formula>0</formula>
    </cfRule>
  </conditionalFormatting>
  <conditionalFormatting sqref="J87:J88 K88">
    <cfRule type="cellIs" priority="6" operator="notEqual" aboveAverage="0" equalAverage="0" bottom="0" percent="0" rank="0" text="" dxfId="68">
      <formula>0</formula>
    </cfRule>
  </conditionalFormatting>
  <conditionalFormatting sqref="K88">
    <cfRule type="cellIs" priority="7" operator="notEqual" aboveAverage="0" equalAverage="0" bottom="0" percent="0" rank="0" text="" dxfId="69">
      <formula>0</formula>
    </cfRule>
  </conditionalFormatting>
  <conditionalFormatting sqref="K21:L65">
    <cfRule type="expression" priority="8" aboveAverage="0" equalAverage="0" bottom="0" percent="0" rank="0" text="" dxfId="70">
      <formula>AND($A21&gt;0,OR($K21="",$L21=""))</formula>
    </cfRule>
    <cfRule type="expression" priority="9" aboveAverage="0" equalAverage="0" bottom="0" percent="0" rank="0" text="" dxfId="71">
      <formula>($A21=0)</formula>
    </cfRule>
  </conditionalFormatting>
  <conditionalFormatting sqref="C88:K88">
    <cfRule type="cellIs" priority="10" operator="notEqual" aboveAverage="0" equalAverage="0" bottom="0" percent="0" rank="0" text="" dxfId="72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73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74">
      <formula>0</formula>
    </cfRule>
  </conditionalFormatting>
  <conditionalFormatting sqref="G17">
    <cfRule type="expression" priority="13" aboveAverage="0" equalAverage="0" bottom="0" percent="0" rank="0" text="" dxfId="75">
      <formula>ISBLANK($G$17)</formula>
    </cfRule>
  </conditionalFormatting>
  <conditionalFormatting sqref="C91:L100">
    <cfRule type="cellIs" priority="14" operator="equal" aboveAverage="0" equalAverage="0" bottom="0" percent="0" rank="0" text="" dxfId="76">
      <formula>0</formula>
    </cfRule>
  </conditionalFormatting>
  <conditionalFormatting sqref="N91:N100">
    <cfRule type="cellIs" priority="15" operator="equal" aboveAverage="0" equalAverage="0" bottom="0" percent="0" rank="0" text="" dxfId="77">
      <formula>0</formula>
    </cfRule>
  </conditionalFormatting>
  <conditionalFormatting sqref="B17">
    <cfRule type="expression" priority="16" aboveAverage="0" equalAverage="0" bottom="0" percent="0" rank="0" text="" dxfId="78">
      <formula>ISBLANK($B$17)</formula>
    </cfRule>
  </conditionalFormatting>
  <conditionalFormatting sqref="M17">
    <cfRule type="expression" priority="17" aboveAverage="0" equalAverage="0" bottom="0" percent="0" rank="0" text="" dxfId="79">
      <formula>$M$17&gt;$K$17</formula>
    </cfRule>
  </conditionalFormatting>
  <conditionalFormatting sqref="M21:M65">
    <cfRule type="cellIs" priority="18" operator="greaterThan" aboveAverage="0" equalAverage="0" bottom="0" percent="0" rank="0" text="" dxfId="80">
      <formula>3</formula>
    </cfRule>
    <cfRule type="cellIs" priority="19" operator="equal" aboveAverage="0" equalAverage="0" bottom="0" percent="0" rank="0" text="" dxfId="81">
      <formula>3</formula>
    </cfRule>
    <cfRule type="cellIs" priority="20" operator="equal" aboveAverage="0" equalAverage="0" bottom="0" percent="0" rank="0" text="" dxfId="82">
      <formula>2</formula>
    </cfRule>
    <cfRule type="cellIs" priority="21" operator="equal" aboveAverage="0" equalAverage="0" bottom="0" percent="0" rank="0" text="" dxfId="83">
      <formula>1</formula>
    </cfRule>
  </conditionalFormatting>
  <conditionalFormatting sqref="Q86:W86 Q85:V85 Q84:U84 Q83:T83 Q82:S82 Q81:R81 R79:Z79 T81:Z81 U82:Z82 V83:Z83 W84:Z84 S80:Z80 X85:Z85 Y86:Z86 Z87 Y88 Q80 Q87:X88">
    <cfRule type="cellIs" priority="22" operator="notEqual" aboveAverage="0" equalAverage="0" bottom="0" percent="0" rank="0" text="" dxfId="84">
      <formula>0</formula>
    </cfRule>
  </conditionalFormatting>
  <conditionalFormatting sqref="Q87:X88 Y88">
    <cfRule type="cellIs" priority="23" operator="notEqual" aboveAverage="0" equalAverage="0" bottom="0" percent="0" rank="0" text="" dxfId="85">
      <formula>0</formula>
    </cfRule>
  </conditionalFormatting>
  <conditionalFormatting sqref="X87:X88 Y88">
    <cfRule type="cellIs" priority="24" operator="notEqual" aboveAverage="0" equalAverage="0" bottom="0" percent="0" rank="0" text="" dxfId="86">
      <formula>0</formula>
    </cfRule>
  </conditionalFormatting>
  <conditionalFormatting sqref="Y88">
    <cfRule type="cellIs" priority="25" operator="notEqual" aboveAverage="0" equalAverage="0" bottom="0" percent="0" rank="0" text="" dxfId="87">
      <formula>0</formula>
    </cfRule>
  </conditionalFormatting>
  <conditionalFormatting sqref="Q88:Y88">
    <cfRule type="cellIs" priority="26" operator="notEqual" aboveAverage="0" equalAverage="0" bottom="0" percent="0" rank="0" text="" dxfId="88">
      <formula>0</formula>
    </cfRule>
  </conditionalFormatting>
  <conditionalFormatting sqref="R81:R88 S82:S88 T83:T88 U84:U88 V85:V88 W86:W88 X87:X88 Y88 Q80:Q88">
    <cfRule type="cellIs" priority="27" operator="notEqual" aboveAverage="0" equalAverage="0" bottom="0" percent="0" rank="0" text="" dxfId="89">
      <formula>0</formula>
    </cfRule>
  </conditionalFormatting>
  <conditionalFormatting sqref="R81:R88 S82:S88 T83:T88 U84:U88 V85:V88 W86:W88 X87:X88 Y88 Q80:Q88">
    <cfRule type="cellIs" priority="28" operator="notEqual" aboveAverage="0" equalAverage="0" bottom="0" percent="0" rank="0" text="" dxfId="90">
      <formula>0</formula>
    </cfRule>
  </conditionalFormatting>
  <conditionalFormatting sqref="O91:P100">
    <cfRule type="cellIs" priority="29" operator="equal" aboveAverage="0" equalAverage="0" bottom="0" percent="0" rank="0" text="" dxfId="91">
      <formula>0</formula>
    </cfRule>
  </conditionalFormatting>
  <conditionalFormatting sqref="B6:F15">
    <cfRule type="expression" priority="30" aboveAverage="0" equalAverage="0" bottom="0" percent="0" rank="0" text="" dxfId="92">
      <formula>$B6&lt;&gt;""</formula>
    </cfRule>
  </conditionalFormatting>
  <conditionalFormatting sqref="G6:N15">
    <cfRule type="expression" priority="31" aboveAverage="0" equalAverage="0" bottom="0" percent="0" rank="0" text="" dxfId="93">
      <formula>$B6&lt;&gt;""</formula>
    </cfRule>
  </conditionalFormatting>
  <conditionalFormatting sqref="P6:P15">
    <cfRule type="colorScale" priority="32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3" operator="equal" aboveAverage="0" equalAverage="0" bottom="0" percent="0" rank="0" text="" dxfId="94">
      <formula>0</formula>
    </cfRule>
  </conditionalFormatting>
  <conditionalFormatting sqref="O6:O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5" operator="lessThan" aboveAverage="0" equalAverage="0" bottom="0" percent="0" rank="0" text="" dxfId="95">
      <formula>0.00001</formula>
    </cfRule>
  </conditionalFormatting>
  <conditionalFormatting sqref="C102:L111">
    <cfRule type="cellIs" priority="36" operator="equal" aboveAverage="0" equalAverage="0" bottom="0" percent="0" rank="0" text="" dxfId="96">
      <formula>0</formula>
    </cfRule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3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151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66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tru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tru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tru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tru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tru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tru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tru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32"/>
      <c r="R75" s="32"/>
      <c r="S75" s="32"/>
      <c r="T75" s="34"/>
      <c r="U75" s="34"/>
      <c r="V75" s="34"/>
      <c r="W75" s="34"/>
      <c r="X75" s="34"/>
      <c r="Y75" s="34"/>
      <c r="Z75" s="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3</v>
      </c>
      <c r="I76" s="32"/>
      <c r="J76" s="32"/>
      <c r="K76" s="32"/>
      <c r="L76" s="32"/>
      <c r="M76" s="32"/>
      <c r="N76" s="317"/>
      <c r="O76" s="234"/>
      <c r="P76" s="234"/>
      <c r="Q76" s="32"/>
      <c r="R76" s="32"/>
      <c r="S76" s="32"/>
      <c r="T76" s="34"/>
      <c r="U76" s="34"/>
      <c r="V76" s="34"/>
      <c r="W76" s="34"/>
      <c r="X76" s="34"/>
      <c r="Y76" s="34"/>
      <c r="Z76" s="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55"/>
      <c r="R77" s="355"/>
      <c r="S77" s="355"/>
      <c r="T77" s="34"/>
      <c r="U77" s="34"/>
      <c r="V77" s="34"/>
      <c r="W77" s="34"/>
      <c r="X77" s="34"/>
      <c r="Y77" s="34"/>
      <c r="Z77" s="34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97">
      <formula>"n/a"</formula>
    </cfRule>
  </conditionalFormatting>
  <conditionalFormatting sqref="K27:L27">
    <cfRule type="cellIs" priority="3" operator="equal" aboveAverage="0" equalAverage="0" bottom="0" percent="0" rank="0" text="" dxfId="98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99">
      <formula>0</formula>
    </cfRule>
  </conditionalFormatting>
  <conditionalFormatting sqref="C87:J88 K88">
    <cfRule type="cellIs" priority="5" operator="notEqual" aboveAverage="0" equalAverage="0" bottom="0" percent="0" rank="0" text="" dxfId="100">
      <formula>0</formula>
    </cfRule>
  </conditionalFormatting>
  <conditionalFormatting sqref="J87:J88 K88">
    <cfRule type="cellIs" priority="6" operator="notEqual" aboveAverage="0" equalAverage="0" bottom="0" percent="0" rank="0" text="" dxfId="101">
      <formula>0</formula>
    </cfRule>
  </conditionalFormatting>
  <conditionalFormatting sqref="K88">
    <cfRule type="cellIs" priority="7" operator="notEqual" aboveAverage="0" equalAverage="0" bottom="0" percent="0" rank="0" text="" dxfId="102">
      <formula>0</formula>
    </cfRule>
  </conditionalFormatting>
  <conditionalFormatting sqref="K21:L65">
    <cfRule type="expression" priority="8" aboveAverage="0" equalAverage="0" bottom="0" percent="0" rank="0" text="" dxfId="103">
      <formula>AND($A21&gt;0,OR($K21="",$L21=""))</formula>
    </cfRule>
    <cfRule type="expression" priority="9" aboveAverage="0" equalAverage="0" bottom="0" percent="0" rank="0" text="" dxfId="104">
      <formula>($A21=0)</formula>
    </cfRule>
  </conditionalFormatting>
  <conditionalFormatting sqref="C88:K88">
    <cfRule type="cellIs" priority="10" operator="notEqual" aboveAverage="0" equalAverage="0" bottom="0" percent="0" rank="0" text="" dxfId="105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106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107">
      <formula>0</formula>
    </cfRule>
  </conditionalFormatting>
  <conditionalFormatting sqref="G17">
    <cfRule type="expression" priority="13" aboveAverage="0" equalAverage="0" bottom="0" percent="0" rank="0" text="" dxfId="108">
      <formula>ISBLANK($G$17)</formula>
    </cfRule>
  </conditionalFormatting>
  <conditionalFormatting sqref="C91:L100">
    <cfRule type="cellIs" priority="14" operator="equal" aboveAverage="0" equalAverage="0" bottom="0" percent="0" rank="0" text="" dxfId="109">
      <formula>0</formula>
    </cfRule>
  </conditionalFormatting>
  <conditionalFormatting sqref="N91:N100">
    <cfRule type="cellIs" priority="15" operator="equal" aboveAverage="0" equalAverage="0" bottom="0" percent="0" rank="0" text="" dxfId="110">
      <formula>0</formula>
    </cfRule>
  </conditionalFormatting>
  <conditionalFormatting sqref="B17">
    <cfRule type="expression" priority="16" aboveAverage="0" equalAverage="0" bottom="0" percent="0" rank="0" text="" dxfId="111">
      <formula>ISBLANK($B$17)</formula>
    </cfRule>
  </conditionalFormatting>
  <conditionalFormatting sqref="M17">
    <cfRule type="expression" priority="17" aboveAverage="0" equalAverage="0" bottom="0" percent="0" rank="0" text="" dxfId="112">
      <formula>$M$17&gt;$K$17</formula>
    </cfRule>
  </conditionalFormatting>
  <conditionalFormatting sqref="M21:M65">
    <cfRule type="cellIs" priority="18" operator="greaterThan" aboveAverage="0" equalAverage="0" bottom="0" percent="0" rank="0" text="" dxfId="113">
      <formula>3</formula>
    </cfRule>
    <cfRule type="cellIs" priority="19" operator="equal" aboveAverage="0" equalAverage="0" bottom="0" percent="0" rank="0" text="" dxfId="114">
      <formula>3</formula>
    </cfRule>
    <cfRule type="cellIs" priority="20" operator="equal" aboveAverage="0" equalAverage="0" bottom="0" percent="0" rank="0" text="" dxfId="115">
      <formula>2</formula>
    </cfRule>
    <cfRule type="cellIs" priority="21" operator="equal" aboveAverage="0" equalAverage="0" bottom="0" percent="0" rank="0" text="" dxfId="116">
      <formula>1</formula>
    </cfRule>
  </conditionalFormatting>
  <conditionalFormatting sqref="Q86:W86 Q85:V85 Q84:U84 Q83:T83 Q82:S82 Q81:R81 R79:Z79 T81:Z81 U82:Z82 V83:Z83 W84:Z84 S80:Z80 X85:Z85 Y86:Z86 Z87 Y88 Q80 Q87:X88">
    <cfRule type="cellIs" priority="22" operator="notEqual" aboveAverage="0" equalAverage="0" bottom="0" percent="0" rank="0" text="" dxfId="117">
      <formula>0</formula>
    </cfRule>
  </conditionalFormatting>
  <conditionalFormatting sqref="Q87:X88 Y88">
    <cfRule type="cellIs" priority="23" operator="notEqual" aboveAverage="0" equalAverage="0" bottom="0" percent="0" rank="0" text="" dxfId="118">
      <formula>0</formula>
    </cfRule>
  </conditionalFormatting>
  <conditionalFormatting sqref="X87:X88 Y88">
    <cfRule type="cellIs" priority="24" operator="notEqual" aboveAverage="0" equalAverage="0" bottom="0" percent="0" rank="0" text="" dxfId="119">
      <formula>0</formula>
    </cfRule>
  </conditionalFormatting>
  <conditionalFormatting sqref="Y88">
    <cfRule type="cellIs" priority="25" operator="notEqual" aboveAverage="0" equalAverage="0" bottom="0" percent="0" rank="0" text="" dxfId="120">
      <formula>0</formula>
    </cfRule>
  </conditionalFormatting>
  <conditionalFormatting sqref="Q88:Y88">
    <cfRule type="cellIs" priority="26" operator="notEqual" aboveAverage="0" equalAverage="0" bottom="0" percent="0" rank="0" text="" dxfId="121">
      <formula>0</formula>
    </cfRule>
  </conditionalFormatting>
  <conditionalFormatting sqref="R81:R88 S82:S88 T83:T88 U84:U88 V85:V88 W86:W88 X87:X88 Y88 Q80:Q88">
    <cfRule type="cellIs" priority="27" operator="notEqual" aboveAverage="0" equalAverage="0" bottom="0" percent="0" rank="0" text="" dxfId="122">
      <formula>0</formula>
    </cfRule>
  </conditionalFormatting>
  <conditionalFormatting sqref="R81:R88 S82:S88 T83:T88 U84:U88 V85:V88 W86:W88 X87:X88 Y88 Q80:Q88">
    <cfRule type="cellIs" priority="28" operator="notEqual" aboveAverage="0" equalAverage="0" bottom="0" percent="0" rank="0" text="" dxfId="123">
      <formula>0</formula>
    </cfRule>
  </conditionalFormatting>
  <conditionalFormatting sqref="B6:F15">
    <cfRule type="expression" priority="29" aboveAverage="0" equalAverage="0" bottom="0" percent="0" rank="0" text="" dxfId="124">
      <formula>$B6&lt;&gt;""</formula>
    </cfRule>
  </conditionalFormatting>
  <conditionalFormatting sqref="G6:N15">
    <cfRule type="expression" priority="30" aboveAverage="0" equalAverage="0" bottom="0" percent="0" rank="0" text="" dxfId="125">
      <formula>$B6&lt;&gt;""</formula>
    </cfRule>
  </conditionalFormatting>
  <conditionalFormatting sqref="O91:P100">
    <cfRule type="cellIs" priority="31" operator="equal" aboveAverage="0" equalAverage="0" bottom="0" percent="0" rank="0" text="" dxfId="126">
      <formula>0</formula>
    </cfRule>
  </conditionalFormatting>
  <conditionalFormatting sqref="P6:P15">
    <cfRule type="colorScale" priority="32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3" operator="equal" aboveAverage="0" equalAverage="0" bottom="0" percent="0" rank="0" text="" dxfId="127">
      <formula>0</formula>
    </cfRule>
  </conditionalFormatting>
  <conditionalFormatting sqref="O6:O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5" operator="lessThan" aboveAverage="0" equalAverage="0" bottom="0" percent="0" rank="0" text="" dxfId="128">
      <formula>0.00001</formula>
    </cfRule>
  </conditionalFormatting>
  <conditionalFormatting sqref="C102:L111">
    <cfRule type="cellIs" priority="36" operator="equal" aboveAverage="0" equalAverage="0" bottom="0" percent="0" rank="0" text="" dxfId="129">
      <formula>0</formula>
    </cfRule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dataValidations count="3"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4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152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4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4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4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4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4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4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4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4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4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4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4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130">
      <formula>"n/a"</formula>
    </cfRule>
  </conditionalFormatting>
  <conditionalFormatting sqref="K27:L27">
    <cfRule type="cellIs" priority="3" operator="equal" aboveAverage="0" equalAverage="0" bottom="0" percent="0" rank="0" text="" dxfId="131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132">
      <formula>0</formula>
    </cfRule>
  </conditionalFormatting>
  <conditionalFormatting sqref="C87:J88 K88">
    <cfRule type="cellIs" priority="5" operator="notEqual" aboveAverage="0" equalAverage="0" bottom="0" percent="0" rank="0" text="" dxfId="133">
      <formula>0</formula>
    </cfRule>
  </conditionalFormatting>
  <conditionalFormatting sqref="J87:J88 K88">
    <cfRule type="cellIs" priority="6" operator="notEqual" aboveAverage="0" equalAverage="0" bottom="0" percent="0" rank="0" text="" dxfId="134">
      <formula>0</formula>
    </cfRule>
  </conditionalFormatting>
  <conditionalFormatting sqref="K88">
    <cfRule type="cellIs" priority="7" operator="notEqual" aboveAverage="0" equalAverage="0" bottom="0" percent="0" rank="0" text="" dxfId="135">
      <formula>0</formula>
    </cfRule>
  </conditionalFormatting>
  <conditionalFormatting sqref="K21:L65">
    <cfRule type="expression" priority="8" aboveAverage="0" equalAverage="0" bottom="0" percent="0" rank="0" text="" dxfId="136">
      <formula>AND($A21&gt;0,OR($K21="",$L21=""))</formula>
    </cfRule>
    <cfRule type="expression" priority="9" aboveAverage="0" equalAverage="0" bottom="0" percent="0" rank="0" text="" dxfId="137">
      <formula>($A21=0)</formula>
    </cfRule>
  </conditionalFormatting>
  <conditionalFormatting sqref="C88:K88">
    <cfRule type="cellIs" priority="10" operator="notEqual" aboveAverage="0" equalAverage="0" bottom="0" percent="0" rank="0" text="" dxfId="138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139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140">
      <formula>0</formula>
    </cfRule>
  </conditionalFormatting>
  <conditionalFormatting sqref="G17">
    <cfRule type="expression" priority="13" aboveAverage="0" equalAverage="0" bottom="0" percent="0" rank="0" text="" dxfId="141">
      <formula>ISBLANK($G$17)</formula>
    </cfRule>
  </conditionalFormatting>
  <conditionalFormatting sqref="C91:L100">
    <cfRule type="cellIs" priority="14" operator="equal" aboveAverage="0" equalAverage="0" bottom="0" percent="0" rank="0" text="" dxfId="142">
      <formula>0</formula>
    </cfRule>
  </conditionalFormatting>
  <conditionalFormatting sqref="N91:N100">
    <cfRule type="cellIs" priority="15" operator="equal" aboveAverage="0" equalAverage="0" bottom="0" percent="0" rank="0" text="" dxfId="143">
      <formula>0</formula>
    </cfRule>
  </conditionalFormatting>
  <conditionalFormatting sqref="B17">
    <cfRule type="expression" priority="16" aboveAverage="0" equalAverage="0" bottom="0" percent="0" rank="0" text="" dxfId="144">
      <formula>ISBLANK($B$17)</formula>
    </cfRule>
  </conditionalFormatting>
  <conditionalFormatting sqref="M17">
    <cfRule type="expression" priority="17" aboveAverage="0" equalAverage="0" bottom="0" percent="0" rank="0" text="" dxfId="145">
      <formula>$M$17&gt;$K$17</formula>
    </cfRule>
  </conditionalFormatting>
  <conditionalFormatting sqref="M21:M65">
    <cfRule type="cellIs" priority="18" operator="greaterThan" aboveAverage="0" equalAverage="0" bottom="0" percent="0" rank="0" text="" dxfId="146">
      <formula>3</formula>
    </cfRule>
    <cfRule type="cellIs" priority="19" operator="equal" aboveAverage="0" equalAverage="0" bottom="0" percent="0" rank="0" text="" dxfId="147">
      <formula>3</formula>
    </cfRule>
    <cfRule type="cellIs" priority="20" operator="equal" aboveAverage="0" equalAverage="0" bottom="0" percent="0" rank="0" text="" dxfId="148">
      <formula>2</formula>
    </cfRule>
    <cfRule type="cellIs" priority="21" operator="equal" aboveAverage="0" equalAverage="0" bottom="0" percent="0" rank="0" text="" dxfId="149">
      <formula>1</formula>
    </cfRule>
  </conditionalFormatting>
  <conditionalFormatting sqref="Q86:W86 Q85:V85 Q84:U84 Q83:T83 Q82:S82 Q81:R81 R79:Z79 T81:Z81 U82:Z82 V83:Z83 W84:Z84 S80:Z80 X85:Z85 Y86:Z86 Z87 Y88 Q80 Q87:X88">
    <cfRule type="cellIs" priority="22" operator="notEqual" aboveAverage="0" equalAverage="0" bottom="0" percent="0" rank="0" text="" dxfId="150">
      <formula>0</formula>
    </cfRule>
  </conditionalFormatting>
  <conditionalFormatting sqref="Q87:X88 Y88">
    <cfRule type="cellIs" priority="23" operator="notEqual" aboveAverage="0" equalAverage="0" bottom="0" percent="0" rank="0" text="" dxfId="151">
      <formula>0</formula>
    </cfRule>
  </conditionalFormatting>
  <conditionalFormatting sqref="X87:X88 Y88">
    <cfRule type="cellIs" priority="24" operator="notEqual" aboveAverage="0" equalAverage="0" bottom="0" percent="0" rank="0" text="" dxfId="152">
      <formula>0</formula>
    </cfRule>
  </conditionalFormatting>
  <conditionalFormatting sqref="Y88">
    <cfRule type="cellIs" priority="25" operator="notEqual" aboveAverage="0" equalAverage="0" bottom="0" percent="0" rank="0" text="" dxfId="153">
      <formula>0</formula>
    </cfRule>
  </conditionalFormatting>
  <conditionalFormatting sqref="Q88:Y88">
    <cfRule type="cellIs" priority="26" operator="notEqual" aboveAverage="0" equalAverage="0" bottom="0" percent="0" rank="0" text="" dxfId="154">
      <formula>0</formula>
    </cfRule>
  </conditionalFormatting>
  <conditionalFormatting sqref="R81:R88 S82:S88 T83:T88 U84:U88 V85:V88 W86:W88 X87:X88 Y88 Q80:Q88">
    <cfRule type="cellIs" priority="27" operator="notEqual" aboveAverage="0" equalAverage="0" bottom="0" percent="0" rank="0" text="" dxfId="155">
      <formula>0</formula>
    </cfRule>
  </conditionalFormatting>
  <conditionalFormatting sqref="R81:R88 S82:S88 T83:T88 U84:U88 V85:V88 W86:W88 X87:X88 Y88 Q80:Q88">
    <cfRule type="cellIs" priority="28" operator="notEqual" aboveAverage="0" equalAverage="0" bottom="0" percent="0" rank="0" text="" dxfId="156">
      <formula>0</formula>
    </cfRule>
  </conditionalFormatting>
  <conditionalFormatting sqref="O91:P100">
    <cfRule type="cellIs" priority="29" operator="equal" aboveAverage="0" equalAverage="0" bottom="0" percent="0" rank="0" text="" dxfId="157">
      <formula>0</formula>
    </cfRule>
  </conditionalFormatting>
  <conditionalFormatting sqref="B6:F15">
    <cfRule type="expression" priority="30" aboveAverage="0" equalAverage="0" bottom="0" percent="0" rank="0" text="" dxfId="158">
      <formula>$B6&lt;&gt;""</formula>
    </cfRule>
  </conditionalFormatting>
  <conditionalFormatting sqref="G6:N15">
    <cfRule type="expression" priority="31" aboveAverage="0" equalAverage="0" bottom="0" percent="0" rank="0" text="" dxfId="159">
      <formula>$B6&lt;&gt;""</formula>
    </cfRule>
  </conditionalFormatting>
  <conditionalFormatting sqref="P6:P12 P14">
    <cfRule type="colorScale" priority="32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3" operator="equal" aboveAverage="0" equalAverage="0" bottom="0" percent="0" rank="0" text="" dxfId="160">
      <formula>0</formula>
    </cfRule>
  </conditionalFormatting>
  <conditionalFormatting sqref="O6:O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5" operator="lessThan" aboveAverage="0" equalAverage="0" bottom="0" percent="0" rank="0" text="" dxfId="161">
      <formula>0.00001</formula>
    </cfRule>
  </conditionalFormatting>
  <conditionalFormatting sqref="C102:L111">
    <cfRule type="cellIs" priority="36" operator="equal" aboveAverage="0" equalAverage="0" bottom="0" percent="0" rank="0" text="" dxfId="162">
      <formula>0</formula>
    </cfRule>
    <cfRule type="colorScale" priority="3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3:P15">
    <cfRule type="colorScale" priority="38">
      <colorScale>
        <cfvo type="min" val="0"/>
        <cfvo type="max" val="0"/>
        <color rgb="FFFCFCFF"/>
        <color rgb="FF63BE7B"/>
      </colorScale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5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27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  <c r="P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100"/>
      <c r="Q16" s="73"/>
    </row>
    <row r="17" customFormat="false" ht="12.75" hidden="false" customHeight="true" outlineLevel="0" collapsed="false">
      <c r="A17" s="34"/>
      <c r="B17" s="226" t="s">
        <v>153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100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100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27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27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27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27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27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27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27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27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27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5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4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4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4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4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4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4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4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4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4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4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163">
      <formula>"n/a"</formula>
    </cfRule>
  </conditionalFormatting>
  <conditionalFormatting sqref="K27:L27">
    <cfRule type="cellIs" priority="3" operator="equal" aboveAverage="0" equalAverage="0" bottom="0" percent="0" rank="0" text="" dxfId="164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165">
      <formula>0</formula>
    </cfRule>
  </conditionalFormatting>
  <conditionalFormatting sqref="C87:J88 K88">
    <cfRule type="cellIs" priority="5" operator="notEqual" aboveAverage="0" equalAverage="0" bottom="0" percent="0" rank="0" text="" dxfId="166">
      <formula>0</formula>
    </cfRule>
  </conditionalFormatting>
  <conditionalFormatting sqref="J87:J88 K88">
    <cfRule type="cellIs" priority="6" operator="notEqual" aboveAverage="0" equalAverage="0" bottom="0" percent="0" rank="0" text="" dxfId="167">
      <formula>0</formula>
    </cfRule>
  </conditionalFormatting>
  <conditionalFormatting sqref="K88">
    <cfRule type="cellIs" priority="7" operator="notEqual" aboveAverage="0" equalAverage="0" bottom="0" percent="0" rank="0" text="" dxfId="168">
      <formula>0</formula>
    </cfRule>
  </conditionalFormatting>
  <conditionalFormatting sqref="K21:L65">
    <cfRule type="expression" priority="8" aboveAverage="0" equalAverage="0" bottom="0" percent="0" rank="0" text="" dxfId="169">
      <formula>AND($A21&gt;0,OR($K21="",$L21=""))</formula>
    </cfRule>
    <cfRule type="expression" priority="9" aboveAverage="0" equalAverage="0" bottom="0" percent="0" rank="0" text="" dxfId="170">
      <formula>($A21=0)</formula>
    </cfRule>
  </conditionalFormatting>
  <conditionalFormatting sqref="C88:K88">
    <cfRule type="cellIs" priority="10" operator="notEqual" aboveAverage="0" equalAverage="0" bottom="0" percent="0" rank="0" text="" dxfId="171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172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173">
      <formula>0</formula>
    </cfRule>
  </conditionalFormatting>
  <conditionalFormatting sqref="G17">
    <cfRule type="expression" priority="13" aboveAverage="0" equalAverage="0" bottom="0" percent="0" rank="0" text="" dxfId="174">
      <formula>ISBLANK($G$17)</formula>
    </cfRule>
  </conditionalFormatting>
  <conditionalFormatting sqref="C91:L100">
    <cfRule type="cellIs" priority="14" operator="equal" aboveAverage="0" equalAverage="0" bottom="0" percent="0" rank="0" text="" dxfId="175">
      <formula>0</formula>
    </cfRule>
  </conditionalFormatting>
  <conditionalFormatting sqref="N91:N100">
    <cfRule type="cellIs" priority="15" operator="equal" aboveAverage="0" equalAverage="0" bottom="0" percent="0" rank="0" text="" dxfId="176">
      <formula>0</formula>
    </cfRule>
  </conditionalFormatting>
  <conditionalFormatting sqref="B17">
    <cfRule type="expression" priority="16" aboveAverage="0" equalAverage="0" bottom="0" percent="0" rank="0" text="" dxfId="177">
      <formula>ISBLANK($B$17)</formula>
    </cfRule>
  </conditionalFormatting>
  <conditionalFormatting sqref="M17">
    <cfRule type="expression" priority="17" aboveAverage="0" equalAverage="0" bottom="0" percent="0" rank="0" text="" dxfId="178">
      <formula>$M$17&gt;$K$17</formula>
    </cfRule>
  </conditionalFormatting>
  <conditionalFormatting sqref="M21:M65">
    <cfRule type="cellIs" priority="18" operator="greaterThan" aboveAverage="0" equalAverage="0" bottom="0" percent="0" rank="0" text="" dxfId="179">
      <formula>3</formula>
    </cfRule>
    <cfRule type="cellIs" priority="19" operator="equal" aboveAverage="0" equalAverage="0" bottom="0" percent="0" rank="0" text="" dxfId="180">
      <formula>3</formula>
    </cfRule>
    <cfRule type="cellIs" priority="20" operator="equal" aboveAverage="0" equalAverage="0" bottom="0" percent="0" rank="0" text="" dxfId="181">
      <formula>2</formula>
    </cfRule>
    <cfRule type="cellIs" priority="21" operator="equal" aboveAverage="0" equalAverage="0" bottom="0" percent="0" rank="0" text="" dxfId="182">
      <formula>1</formula>
    </cfRule>
  </conditionalFormatting>
  <conditionalFormatting sqref="C102:L111">
    <cfRule type="cellIs" priority="22" operator="equal" aboveAverage="0" equalAverage="0" bottom="0" percent="0" rank="0" text="" dxfId="183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184">
      <formula>0</formula>
    </cfRule>
  </conditionalFormatting>
  <conditionalFormatting sqref="Q87:X88 Y88">
    <cfRule type="cellIs" priority="25" operator="notEqual" aboveAverage="0" equalAverage="0" bottom="0" percent="0" rank="0" text="" dxfId="185">
      <formula>0</formula>
    </cfRule>
  </conditionalFormatting>
  <conditionalFormatting sqref="X87:X88 Y88">
    <cfRule type="cellIs" priority="26" operator="notEqual" aboveAverage="0" equalAverage="0" bottom="0" percent="0" rank="0" text="" dxfId="186">
      <formula>0</formula>
    </cfRule>
  </conditionalFormatting>
  <conditionalFormatting sqref="Y88">
    <cfRule type="cellIs" priority="27" operator="notEqual" aboveAverage="0" equalAverage="0" bottom="0" percent="0" rank="0" text="" dxfId="187">
      <formula>0</formula>
    </cfRule>
  </conditionalFormatting>
  <conditionalFormatting sqref="Q88:Y88">
    <cfRule type="cellIs" priority="28" operator="notEqual" aboveAverage="0" equalAverage="0" bottom="0" percent="0" rank="0" text="" dxfId="188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189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190">
      <formula>0</formula>
    </cfRule>
  </conditionalFormatting>
  <conditionalFormatting sqref="O91:P100">
    <cfRule type="cellIs" priority="31" operator="equal" aboveAverage="0" equalAverage="0" bottom="0" percent="0" rank="0" text="" dxfId="191">
      <formula>0</formula>
    </cfRule>
  </conditionalFormatting>
  <conditionalFormatting sqref="B6:F15">
    <cfRule type="expression" priority="32" aboveAverage="0" equalAverage="0" bottom="0" percent="0" rank="0" text="" dxfId="192">
      <formula>$B6&lt;&gt;""</formula>
    </cfRule>
  </conditionalFormatting>
  <conditionalFormatting sqref="G6:N15">
    <cfRule type="expression" priority="33" aboveAverage="0" equalAverage="0" bottom="0" percent="0" rank="0" text="" dxfId="193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194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195">
      <formula>0.00001</formula>
    </cfRule>
  </conditionalFormatting>
  <dataValidations count="3"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6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154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6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4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4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4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4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4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4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4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4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4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4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196">
      <formula>"n/a"</formula>
    </cfRule>
  </conditionalFormatting>
  <conditionalFormatting sqref="K27:L27">
    <cfRule type="cellIs" priority="3" operator="equal" aboveAverage="0" equalAverage="0" bottom="0" percent="0" rank="0" text="" dxfId="197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198">
      <formula>0</formula>
    </cfRule>
  </conditionalFormatting>
  <conditionalFormatting sqref="C87:J88 K88">
    <cfRule type="cellIs" priority="5" operator="notEqual" aboveAverage="0" equalAverage="0" bottom="0" percent="0" rank="0" text="" dxfId="199">
      <formula>0</formula>
    </cfRule>
  </conditionalFormatting>
  <conditionalFormatting sqref="J87:J88 K88">
    <cfRule type="cellIs" priority="6" operator="notEqual" aboveAverage="0" equalAverage="0" bottom="0" percent="0" rank="0" text="" dxfId="200">
      <formula>0</formula>
    </cfRule>
  </conditionalFormatting>
  <conditionalFormatting sqref="K88">
    <cfRule type="cellIs" priority="7" operator="notEqual" aboveAverage="0" equalAverage="0" bottom="0" percent="0" rank="0" text="" dxfId="201">
      <formula>0</formula>
    </cfRule>
  </conditionalFormatting>
  <conditionalFormatting sqref="K21:L65">
    <cfRule type="expression" priority="8" aboveAverage="0" equalAverage="0" bottom="0" percent="0" rank="0" text="" dxfId="202">
      <formula>AND($A21&gt;0,OR($K21="",$L21=""))</formula>
    </cfRule>
    <cfRule type="expression" priority="9" aboveAverage="0" equalAverage="0" bottom="0" percent="0" rank="0" text="" dxfId="203">
      <formula>($A21=0)</formula>
    </cfRule>
  </conditionalFormatting>
  <conditionalFormatting sqref="C88:K88">
    <cfRule type="cellIs" priority="10" operator="notEqual" aboveAverage="0" equalAverage="0" bottom="0" percent="0" rank="0" text="" dxfId="204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205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206">
      <formula>0</formula>
    </cfRule>
  </conditionalFormatting>
  <conditionalFormatting sqref="G17">
    <cfRule type="expression" priority="13" aboveAverage="0" equalAverage="0" bottom="0" percent="0" rank="0" text="" dxfId="207">
      <formula>ISBLANK($G$17)</formula>
    </cfRule>
  </conditionalFormatting>
  <conditionalFormatting sqref="C91:L100">
    <cfRule type="cellIs" priority="14" operator="equal" aboveAverage="0" equalAverage="0" bottom="0" percent="0" rank="0" text="" dxfId="208">
      <formula>0</formula>
    </cfRule>
  </conditionalFormatting>
  <conditionalFormatting sqref="N91:N100">
    <cfRule type="cellIs" priority="15" operator="equal" aboveAverage="0" equalAverage="0" bottom="0" percent="0" rank="0" text="" dxfId="209">
      <formula>0</formula>
    </cfRule>
  </conditionalFormatting>
  <conditionalFormatting sqref="B17">
    <cfRule type="expression" priority="16" aboveAverage="0" equalAverage="0" bottom="0" percent="0" rank="0" text="" dxfId="210">
      <formula>ISBLANK($B$17)</formula>
    </cfRule>
  </conditionalFormatting>
  <conditionalFormatting sqref="M17">
    <cfRule type="expression" priority="17" aboveAverage="0" equalAverage="0" bottom="0" percent="0" rank="0" text="" dxfId="211">
      <formula>$M$17&gt;$K$17</formula>
    </cfRule>
  </conditionalFormatting>
  <conditionalFormatting sqref="M21:M65">
    <cfRule type="cellIs" priority="18" operator="greaterThan" aboveAverage="0" equalAverage="0" bottom="0" percent="0" rank="0" text="" dxfId="212">
      <formula>3</formula>
    </cfRule>
    <cfRule type="cellIs" priority="19" operator="equal" aboveAverage="0" equalAverage="0" bottom="0" percent="0" rank="0" text="" dxfId="213">
      <formula>3</formula>
    </cfRule>
    <cfRule type="cellIs" priority="20" operator="equal" aboveAverage="0" equalAverage="0" bottom="0" percent="0" rank="0" text="" dxfId="214">
      <formula>2</formula>
    </cfRule>
    <cfRule type="cellIs" priority="21" operator="equal" aboveAverage="0" equalAverage="0" bottom="0" percent="0" rank="0" text="" dxfId="215">
      <formula>1</formula>
    </cfRule>
  </conditionalFormatting>
  <conditionalFormatting sqref="C102:L111">
    <cfRule type="cellIs" priority="22" operator="equal" aboveAverage="0" equalAverage="0" bottom="0" percent="0" rank="0" text="" dxfId="216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217">
      <formula>0</formula>
    </cfRule>
  </conditionalFormatting>
  <conditionalFormatting sqref="Q87:X88 Y88">
    <cfRule type="cellIs" priority="25" operator="notEqual" aboveAverage="0" equalAverage="0" bottom="0" percent="0" rank="0" text="" dxfId="218">
      <formula>0</formula>
    </cfRule>
  </conditionalFormatting>
  <conditionalFormatting sqref="X87:X88 Y88">
    <cfRule type="cellIs" priority="26" operator="notEqual" aboveAverage="0" equalAverage="0" bottom="0" percent="0" rank="0" text="" dxfId="219">
      <formula>0</formula>
    </cfRule>
  </conditionalFormatting>
  <conditionalFormatting sqref="Y88">
    <cfRule type="cellIs" priority="27" operator="notEqual" aboveAverage="0" equalAverage="0" bottom="0" percent="0" rank="0" text="" dxfId="220">
      <formula>0</formula>
    </cfRule>
  </conditionalFormatting>
  <conditionalFormatting sqref="Q88:Y88">
    <cfRule type="cellIs" priority="28" operator="notEqual" aboveAverage="0" equalAverage="0" bottom="0" percent="0" rank="0" text="" dxfId="221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222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223">
      <formula>0</formula>
    </cfRule>
  </conditionalFormatting>
  <conditionalFormatting sqref="O91:P100">
    <cfRule type="cellIs" priority="31" operator="equal" aboveAverage="0" equalAverage="0" bottom="0" percent="0" rank="0" text="" dxfId="224">
      <formula>0</formula>
    </cfRule>
  </conditionalFormatting>
  <conditionalFormatting sqref="B6:F15">
    <cfRule type="expression" priority="32" aboveAverage="0" equalAverage="0" bottom="0" percent="0" rank="0" text="" dxfId="225">
      <formula>$B6&lt;&gt;""</formula>
    </cfRule>
  </conditionalFormatting>
  <conditionalFormatting sqref="G6:N15">
    <cfRule type="expression" priority="33" aboveAverage="0" equalAverage="0" bottom="0" percent="0" rank="0" text="" dxfId="226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227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228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7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155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69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7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4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4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4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4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4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4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4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4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4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4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229">
      <formula>"n/a"</formula>
    </cfRule>
  </conditionalFormatting>
  <conditionalFormatting sqref="C86:I86 C85:H85 C84:G84 C83:F83 C82:E82 C81:D81 D79:L79 F81:L81 G82:L82 H83:L83 I84:L84 E80:L80 J85:L85 K86:L86 L87 K88 C80 C87:J88">
    <cfRule type="cellIs" priority="3" operator="notEqual" aboveAverage="0" equalAverage="0" bottom="0" percent="0" rank="0" text="" dxfId="230">
      <formula>0</formula>
    </cfRule>
  </conditionalFormatting>
  <conditionalFormatting sqref="C87:J88 K88">
    <cfRule type="cellIs" priority="4" operator="notEqual" aboveAverage="0" equalAverage="0" bottom="0" percent="0" rank="0" text="" dxfId="231">
      <formula>0</formula>
    </cfRule>
  </conditionalFormatting>
  <conditionalFormatting sqref="J87:J88 K88">
    <cfRule type="cellIs" priority="5" operator="notEqual" aboveAverage="0" equalAverage="0" bottom="0" percent="0" rank="0" text="" dxfId="232">
      <formula>0</formula>
    </cfRule>
  </conditionalFormatting>
  <conditionalFormatting sqref="K88">
    <cfRule type="cellIs" priority="6" operator="notEqual" aboveAverage="0" equalAverage="0" bottom="0" percent="0" rank="0" text="" dxfId="233">
      <formula>0</formula>
    </cfRule>
  </conditionalFormatting>
  <conditionalFormatting sqref="K47:L65">
    <cfRule type="expression" priority="7" aboveAverage="0" equalAverage="0" bottom="0" percent="0" rank="0" text="" dxfId="234">
      <formula>AND($A47&gt;0,OR($K47="",$L47=""))</formula>
    </cfRule>
    <cfRule type="expression" priority="8" aboveAverage="0" equalAverage="0" bottom="0" percent="0" rank="0" text="" dxfId="235">
      <formula>($A47=0)</formula>
    </cfRule>
  </conditionalFormatting>
  <conditionalFormatting sqref="C88:K88">
    <cfRule type="cellIs" priority="9" operator="notEqual" aboveAverage="0" equalAverage="0" bottom="0" percent="0" rank="0" text="" dxfId="236">
      <formula>0</formula>
    </cfRule>
  </conditionalFormatting>
  <conditionalFormatting sqref="D81:D88 E82:E88 F83:F88 G84:G88 H85:H88 I86:I88 J87:J88 K88 C80:C88">
    <cfRule type="cellIs" priority="10" operator="notEqual" aboveAverage="0" equalAverage="0" bottom="0" percent="0" rank="0" text="" dxfId="237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238">
      <formula>0</formula>
    </cfRule>
  </conditionalFormatting>
  <conditionalFormatting sqref="G17">
    <cfRule type="expression" priority="12" aboveAverage="0" equalAverage="0" bottom="0" percent="0" rank="0" text="" dxfId="239">
      <formula>ISBLANK($G$17)</formula>
    </cfRule>
  </conditionalFormatting>
  <conditionalFormatting sqref="C91:L100">
    <cfRule type="cellIs" priority="13" operator="equal" aboveAverage="0" equalAverage="0" bottom="0" percent="0" rank="0" text="" dxfId="240">
      <formula>0</formula>
    </cfRule>
  </conditionalFormatting>
  <conditionalFormatting sqref="N91:N100">
    <cfRule type="cellIs" priority="14" operator="equal" aboveAverage="0" equalAverage="0" bottom="0" percent="0" rank="0" text="" dxfId="241">
      <formula>0</formula>
    </cfRule>
  </conditionalFormatting>
  <conditionalFormatting sqref="B17">
    <cfRule type="expression" priority="15" aboveAverage="0" equalAverage="0" bottom="0" percent="0" rank="0" text="" dxfId="242">
      <formula>ISBLANK($B$17)</formula>
    </cfRule>
  </conditionalFormatting>
  <conditionalFormatting sqref="M17">
    <cfRule type="expression" priority="16" aboveAverage="0" equalAverage="0" bottom="0" percent="0" rank="0" text="" dxfId="243">
      <formula>$M$17&gt;$K$17</formula>
    </cfRule>
  </conditionalFormatting>
  <conditionalFormatting sqref="K27:L27">
    <cfRule type="cellIs" priority="17" operator="equal" aboveAverage="0" equalAverage="0" bottom="0" percent="0" rank="0" text="" dxfId="244">
      <formula>""" """</formula>
    </cfRule>
  </conditionalFormatting>
  <conditionalFormatting sqref="K21:L46">
    <cfRule type="expression" priority="18" aboveAverage="0" equalAverage="0" bottom="0" percent="0" rank="0" text="" dxfId="245">
      <formula>AND($A21&gt;0,OR($K21="",$L21=""))</formula>
    </cfRule>
    <cfRule type="expression" priority="19" aboveAverage="0" equalAverage="0" bottom="0" percent="0" rank="0" text="" dxfId="246">
      <formula>($A21=0)</formula>
    </cfRule>
  </conditionalFormatting>
  <conditionalFormatting sqref="M21:M65">
    <cfRule type="cellIs" priority="20" operator="greaterThan" aboveAverage="0" equalAverage="0" bottom="0" percent="0" rank="0" text="" dxfId="247">
      <formula>3</formula>
    </cfRule>
    <cfRule type="cellIs" priority="21" operator="equal" aboveAverage="0" equalAverage="0" bottom="0" percent="0" rank="0" text="" dxfId="248">
      <formula>3</formula>
    </cfRule>
    <cfRule type="cellIs" priority="22" operator="equal" aboveAverage="0" equalAverage="0" bottom="0" percent="0" rank="0" text="" dxfId="249">
      <formula>2</formula>
    </cfRule>
    <cfRule type="cellIs" priority="23" operator="equal" aboveAverage="0" equalAverage="0" bottom="0" percent="0" rank="0" text="" dxfId="250">
      <formula>1</formula>
    </cfRule>
  </conditionalFormatting>
  <conditionalFormatting sqref="C102:L111">
    <cfRule type="cellIs" priority="24" operator="equal" aboveAverage="0" equalAverage="0" bottom="0" percent="0" rank="0" text="" dxfId="251">
      <formula>0</formula>
    </cfRule>
    <cfRule type="colorScale" priority="2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6" operator="notEqual" aboveAverage="0" equalAverage="0" bottom="0" percent="0" rank="0" text="" dxfId="252">
      <formula>0</formula>
    </cfRule>
  </conditionalFormatting>
  <conditionalFormatting sqref="Q87:X88 Y88">
    <cfRule type="cellIs" priority="27" operator="notEqual" aboveAverage="0" equalAverage="0" bottom="0" percent="0" rank="0" text="" dxfId="253">
      <formula>0</formula>
    </cfRule>
  </conditionalFormatting>
  <conditionalFormatting sqref="X87:X88 Y88">
    <cfRule type="cellIs" priority="28" operator="notEqual" aboveAverage="0" equalAverage="0" bottom="0" percent="0" rank="0" text="" dxfId="254">
      <formula>0</formula>
    </cfRule>
  </conditionalFormatting>
  <conditionalFormatting sqref="Y88">
    <cfRule type="cellIs" priority="29" operator="notEqual" aboveAverage="0" equalAverage="0" bottom="0" percent="0" rank="0" text="" dxfId="255">
      <formula>0</formula>
    </cfRule>
  </conditionalFormatting>
  <conditionalFormatting sqref="Q88:Y88">
    <cfRule type="cellIs" priority="30" operator="notEqual" aboveAverage="0" equalAverage="0" bottom="0" percent="0" rank="0" text="" dxfId="256">
      <formula>0</formula>
    </cfRule>
  </conditionalFormatting>
  <conditionalFormatting sqref="R81:R88 S82:S88 T83:T88 U84:U88 V85:V88 W86:W88 X87:X88 Y88 Q80:Q88">
    <cfRule type="cellIs" priority="31" operator="notEqual" aboveAverage="0" equalAverage="0" bottom="0" percent="0" rank="0" text="" dxfId="257">
      <formula>0</formula>
    </cfRule>
  </conditionalFormatting>
  <conditionalFormatting sqref="R81:R88 S82:S88 T83:T88 U84:U88 V85:V88 W86:W88 X87:X88 Y88 Q80:Q88">
    <cfRule type="cellIs" priority="32" operator="notEqual" aboveAverage="0" equalAverage="0" bottom="0" percent="0" rank="0" text="" dxfId="258">
      <formula>0</formula>
    </cfRule>
  </conditionalFormatting>
  <conditionalFormatting sqref="O91:P100">
    <cfRule type="cellIs" priority="33" operator="equal" aboveAverage="0" equalAverage="0" bottom="0" percent="0" rank="0" text="" dxfId="259">
      <formula>0</formula>
    </cfRule>
  </conditionalFormatting>
  <conditionalFormatting sqref="B6:F15">
    <cfRule type="expression" priority="34" aboveAverage="0" equalAverage="0" bottom="0" percent="0" rank="0" text="" dxfId="260">
      <formula>$B6&lt;&gt;""</formula>
    </cfRule>
  </conditionalFormatting>
  <conditionalFormatting sqref="G6:N15">
    <cfRule type="expression" priority="35" aboveAverage="0" equalAverage="0" bottom="0" percent="0" rank="0" text="" dxfId="261">
      <formula>$B6&lt;&gt;""</formula>
    </cfRule>
  </conditionalFormatting>
  <conditionalFormatting sqref="P6:P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7" operator="equal" aboveAverage="0" equalAverage="0" bottom="0" percent="0" rank="0" text="" dxfId="262">
      <formula>0</formula>
    </cfRule>
  </conditionalFormatting>
  <conditionalFormatting sqref="O6:O15">
    <cfRule type="colorScale" priority="38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9" operator="lessThan" aboveAverage="0" equalAverage="0" bottom="0" percent="0" rank="0" text="" dxfId="263">
      <formula>0.00001</formula>
    </cfRule>
  </conditionalFormatting>
  <dataValidations count="3"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8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156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8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4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4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4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4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4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4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4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4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4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4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264">
      <formula>"n/a"</formula>
    </cfRule>
  </conditionalFormatting>
  <conditionalFormatting sqref="K27:L27">
    <cfRule type="cellIs" priority="3" operator="equal" aboveAverage="0" equalAverage="0" bottom="0" percent="0" rank="0" text="" dxfId="265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266">
      <formula>0</formula>
    </cfRule>
  </conditionalFormatting>
  <conditionalFormatting sqref="C87:J88 K88">
    <cfRule type="cellIs" priority="5" operator="notEqual" aboveAverage="0" equalAverage="0" bottom="0" percent="0" rank="0" text="" dxfId="267">
      <formula>0</formula>
    </cfRule>
  </conditionalFormatting>
  <conditionalFormatting sqref="J87:J88 K88">
    <cfRule type="cellIs" priority="6" operator="notEqual" aboveAverage="0" equalAverage="0" bottom="0" percent="0" rank="0" text="" dxfId="268">
      <formula>0</formula>
    </cfRule>
  </conditionalFormatting>
  <conditionalFormatting sqref="K88">
    <cfRule type="cellIs" priority="7" operator="notEqual" aboveAverage="0" equalAverage="0" bottom="0" percent="0" rank="0" text="" dxfId="269">
      <formula>0</formula>
    </cfRule>
  </conditionalFormatting>
  <conditionalFormatting sqref="K21:L65">
    <cfRule type="expression" priority="8" aboveAverage="0" equalAverage="0" bottom="0" percent="0" rank="0" text="" dxfId="270">
      <formula>AND($A21&gt;0,OR($K21="",$L21=""))</formula>
    </cfRule>
    <cfRule type="expression" priority="9" aboveAverage="0" equalAverage="0" bottom="0" percent="0" rank="0" text="" dxfId="271">
      <formula>($A21=0)</formula>
    </cfRule>
  </conditionalFormatting>
  <conditionalFormatting sqref="C88:K88">
    <cfRule type="cellIs" priority="10" operator="notEqual" aboveAverage="0" equalAverage="0" bottom="0" percent="0" rank="0" text="" dxfId="272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273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274">
      <formula>0</formula>
    </cfRule>
  </conditionalFormatting>
  <conditionalFormatting sqref="G17">
    <cfRule type="expression" priority="13" aboveAverage="0" equalAverage="0" bottom="0" percent="0" rank="0" text="" dxfId="275">
      <formula>ISBLANK($G$17)</formula>
    </cfRule>
  </conditionalFormatting>
  <conditionalFormatting sqref="C91:L100">
    <cfRule type="cellIs" priority="14" operator="equal" aboveAverage="0" equalAverage="0" bottom="0" percent="0" rank="0" text="" dxfId="276">
      <formula>0</formula>
    </cfRule>
  </conditionalFormatting>
  <conditionalFormatting sqref="N91:N100">
    <cfRule type="cellIs" priority="15" operator="equal" aboveAverage="0" equalAverage="0" bottom="0" percent="0" rank="0" text="" dxfId="277">
      <formula>0</formula>
    </cfRule>
  </conditionalFormatting>
  <conditionalFormatting sqref="B17">
    <cfRule type="expression" priority="16" aboveAverage="0" equalAverage="0" bottom="0" percent="0" rank="0" text="" dxfId="278">
      <formula>ISBLANK($B$17)</formula>
    </cfRule>
  </conditionalFormatting>
  <conditionalFormatting sqref="M17">
    <cfRule type="expression" priority="17" aboveAverage="0" equalAverage="0" bottom="0" percent="0" rank="0" text="" dxfId="279">
      <formula>$M$17&gt;$K$17</formula>
    </cfRule>
  </conditionalFormatting>
  <conditionalFormatting sqref="M21:M65">
    <cfRule type="cellIs" priority="18" operator="greaterThan" aboveAverage="0" equalAverage="0" bottom="0" percent="0" rank="0" text="" dxfId="280">
      <formula>3</formula>
    </cfRule>
    <cfRule type="cellIs" priority="19" operator="equal" aboveAverage="0" equalAverage="0" bottom="0" percent="0" rank="0" text="" dxfId="281">
      <formula>3</formula>
    </cfRule>
    <cfRule type="cellIs" priority="20" operator="equal" aboveAverage="0" equalAverage="0" bottom="0" percent="0" rank="0" text="" dxfId="282">
      <formula>2</formula>
    </cfRule>
    <cfRule type="cellIs" priority="21" operator="equal" aboveAverage="0" equalAverage="0" bottom="0" percent="0" rank="0" text="" dxfId="283">
      <formula>1</formula>
    </cfRule>
  </conditionalFormatting>
  <conditionalFormatting sqref="C102:L111">
    <cfRule type="cellIs" priority="22" operator="equal" aboveAverage="0" equalAverage="0" bottom="0" percent="0" rank="0" text="" dxfId="284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285">
      <formula>0</formula>
    </cfRule>
  </conditionalFormatting>
  <conditionalFormatting sqref="Q87:X88 Y88">
    <cfRule type="cellIs" priority="25" operator="notEqual" aboveAverage="0" equalAverage="0" bottom="0" percent="0" rank="0" text="" dxfId="286">
      <formula>0</formula>
    </cfRule>
  </conditionalFormatting>
  <conditionalFormatting sqref="X87:X88 Y88">
    <cfRule type="cellIs" priority="26" operator="notEqual" aboveAverage="0" equalAverage="0" bottom="0" percent="0" rank="0" text="" dxfId="287">
      <formula>0</formula>
    </cfRule>
  </conditionalFormatting>
  <conditionalFormatting sqref="Y88">
    <cfRule type="cellIs" priority="27" operator="notEqual" aboveAverage="0" equalAverage="0" bottom="0" percent="0" rank="0" text="" dxfId="288">
      <formula>0</formula>
    </cfRule>
  </conditionalFormatting>
  <conditionalFormatting sqref="Q88:Y88">
    <cfRule type="cellIs" priority="28" operator="notEqual" aboveAverage="0" equalAverage="0" bottom="0" percent="0" rank="0" text="" dxfId="289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290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291">
      <formula>0</formula>
    </cfRule>
  </conditionalFormatting>
  <conditionalFormatting sqref="O91:P100">
    <cfRule type="cellIs" priority="31" operator="equal" aboveAverage="0" equalAverage="0" bottom="0" percent="0" rank="0" text="" dxfId="292">
      <formula>0</formula>
    </cfRule>
  </conditionalFormatting>
  <conditionalFormatting sqref="B6:F15">
    <cfRule type="expression" priority="32" aboveAverage="0" equalAverage="0" bottom="0" percent="0" rank="0" text="" dxfId="293">
      <formula>$B6&lt;&gt;""</formula>
    </cfRule>
  </conditionalFormatting>
  <conditionalFormatting sqref="G6:N15">
    <cfRule type="expression" priority="33" aboveAverage="0" equalAverage="0" bottom="0" percent="0" rank="0" text="" dxfId="294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295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296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9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157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232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4" t="n">
        <v>6</v>
      </c>
      <c r="C47" s="275" t="n">
        <v>8</v>
      </c>
      <c r="D47" s="261" t="str">
        <f aca="false">IF(OR(B47=B46,A47=0),"",VLOOKUP($B47,$A$6:$D$15,2))</f>
        <v/>
      </c>
      <c r="E47" s="262"/>
      <c r="F47" s="262"/>
      <c r="G47" s="285"/>
      <c r="H47" s="264" t="str">
        <f aca="false">IF(B47&gt;0,VLOOKUP($C47,$A$6:$D$15,2),"")</f>
        <v/>
      </c>
      <c r="I47" s="264"/>
      <c r="J47" s="264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9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4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4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4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4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4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4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4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4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4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4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297">
      <formula>"n/a"</formula>
    </cfRule>
  </conditionalFormatting>
  <conditionalFormatting sqref="K27:L27">
    <cfRule type="cellIs" priority="3" operator="equal" aboveAverage="0" equalAverage="0" bottom="0" percent="0" rank="0" text="" dxfId="298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299">
      <formula>0</formula>
    </cfRule>
  </conditionalFormatting>
  <conditionalFormatting sqref="C87:J88 K88">
    <cfRule type="cellIs" priority="5" operator="notEqual" aboveAverage="0" equalAverage="0" bottom="0" percent="0" rank="0" text="" dxfId="300">
      <formula>0</formula>
    </cfRule>
  </conditionalFormatting>
  <conditionalFormatting sqref="J87:J88 K88">
    <cfRule type="cellIs" priority="6" operator="notEqual" aboveAverage="0" equalAverage="0" bottom="0" percent="0" rank="0" text="" dxfId="301">
      <formula>0</formula>
    </cfRule>
  </conditionalFormatting>
  <conditionalFormatting sqref="K88">
    <cfRule type="cellIs" priority="7" operator="notEqual" aboveAverage="0" equalAverage="0" bottom="0" percent="0" rank="0" text="" dxfId="302">
      <formula>0</formula>
    </cfRule>
  </conditionalFormatting>
  <conditionalFormatting sqref="K21:L65">
    <cfRule type="expression" priority="8" aboveAverage="0" equalAverage="0" bottom="0" percent="0" rank="0" text="" dxfId="303">
      <formula>AND($A21&gt;0,OR($K21="",$L21=""))</formula>
    </cfRule>
    <cfRule type="expression" priority="9" aboveAverage="0" equalAverage="0" bottom="0" percent="0" rank="0" text="" dxfId="304">
      <formula>($A21=0)</formula>
    </cfRule>
  </conditionalFormatting>
  <conditionalFormatting sqref="C88:K88">
    <cfRule type="cellIs" priority="10" operator="notEqual" aboveAverage="0" equalAverage="0" bottom="0" percent="0" rank="0" text="" dxfId="305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306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307">
      <formula>0</formula>
    </cfRule>
  </conditionalFormatting>
  <conditionalFormatting sqref="G17">
    <cfRule type="expression" priority="13" aboveAverage="0" equalAverage="0" bottom="0" percent="0" rank="0" text="" dxfId="308">
      <formula>ISBLANK($G$17)</formula>
    </cfRule>
  </conditionalFormatting>
  <conditionalFormatting sqref="C91:L100">
    <cfRule type="cellIs" priority="14" operator="equal" aboveAverage="0" equalAverage="0" bottom="0" percent="0" rank="0" text="" dxfId="309">
      <formula>0</formula>
    </cfRule>
  </conditionalFormatting>
  <conditionalFormatting sqref="N91:N100">
    <cfRule type="cellIs" priority="15" operator="equal" aboveAverage="0" equalAverage="0" bottom="0" percent="0" rank="0" text="" dxfId="310">
      <formula>0</formula>
    </cfRule>
  </conditionalFormatting>
  <conditionalFormatting sqref="B17">
    <cfRule type="expression" priority="16" aboveAverage="0" equalAverage="0" bottom="0" percent="0" rank="0" text="" dxfId="311">
      <formula>ISBLANK($B$17)</formula>
    </cfRule>
  </conditionalFormatting>
  <conditionalFormatting sqref="M17">
    <cfRule type="expression" priority="17" aboveAverage="0" equalAverage="0" bottom="0" percent="0" rank="0" text="" dxfId="312">
      <formula>$M$17&gt;$K$17</formula>
    </cfRule>
  </conditionalFormatting>
  <conditionalFormatting sqref="M21:M65">
    <cfRule type="cellIs" priority="18" operator="greaterThan" aboveAverage="0" equalAverage="0" bottom="0" percent="0" rank="0" text="" dxfId="313">
      <formula>3</formula>
    </cfRule>
    <cfRule type="cellIs" priority="19" operator="equal" aboveAverage="0" equalAverage="0" bottom="0" percent="0" rank="0" text="" dxfId="314">
      <formula>3</formula>
    </cfRule>
    <cfRule type="cellIs" priority="20" operator="equal" aboveAverage="0" equalAverage="0" bottom="0" percent="0" rank="0" text="" dxfId="315">
      <formula>2</formula>
    </cfRule>
    <cfRule type="cellIs" priority="21" operator="equal" aboveAverage="0" equalAverage="0" bottom="0" percent="0" rank="0" text="" dxfId="316">
      <formula>1</formula>
    </cfRule>
  </conditionalFormatting>
  <conditionalFormatting sqref="C102:L111">
    <cfRule type="cellIs" priority="22" operator="equal" aboveAverage="0" equalAverage="0" bottom="0" percent="0" rank="0" text="" dxfId="317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318">
      <formula>0</formula>
    </cfRule>
  </conditionalFormatting>
  <conditionalFormatting sqref="Q87:X88 Y88">
    <cfRule type="cellIs" priority="25" operator="notEqual" aboveAverage="0" equalAverage="0" bottom="0" percent="0" rank="0" text="" dxfId="319">
      <formula>0</formula>
    </cfRule>
  </conditionalFormatting>
  <conditionalFormatting sqref="X87:X88 Y88">
    <cfRule type="cellIs" priority="26" operator="notEqual" aboveAverage="0" equalAverage="0" bottom="0" percent="0" rank="0" text="" dxfId="320">
      <formula>0</formula>
    </cfRule>
  </conditionalFormatting>
  <conditionalFormatting sqref="Y88">
    <cfRule type="cellIs" priority="27" operator="notEqual" aboveAverage="0" equalAverage="0" bottom="0" percent="0" rank="0" text="" dxfId="321">
      <formula>0</formula>
    </cfRule>
  </conditionalFormatting>
  <conditionalFormatting sqref="Q88:Y88">
    <cfRule type="cellIs" priority="28" operator="notEqual" aboveAverage="0" equalAverage="0" bottom="0" percent="0" rank="0" text="" dxfId="322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323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324">
      <formula>0</formula>
    </cfRule>
  </conditionalFormatting>
  <conditionalFormatting sqref="O91:P100">
    <cfRule type="cellIs" priority="31" operator="equal" aboveAverage="0" equalAverage="0" bottom="0" percent="0" rank="0" text="" dxfId="325">
      <formula>0</formula>
    </cfRule>
  </conditionalFormatting>
  <conditionalFormatting sqref="B6:F15">
    <cfRule type="expression" priority="32" aboveAverage="0" equalAverage="0" bottom="0" percent="0" rank="0" text="" dxfId="326">
      <formula>$B6&lt;&gt;""</formula>
    </cfRule>
  </conditionalFormatting>
  <conditionalFormatting sqref="G6:N15">
    <cfRule type="expression" priority="33" aboveAverage="0" equalAverage="0" bottom="0" percent="0" rank="0" text="" dxfId="327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328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329">
      <formula>0.00001</formula>
    </cfRule>
  </conditionalFormatting>
  <dataValidations count="3"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10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75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75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357"/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158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fals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fals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fals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fals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fals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fals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fals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fals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fals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fals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fals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fals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fals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fals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fals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fals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fals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10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4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4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4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4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4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4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4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4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4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4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330">
      <formula>"n/a"</formula>
    </cfRule>
  </conditionalFormatting>
  <conditionalFormatting sqref="K27:L27">
    <cfRule type="cellIs" priority="3" operator="equal" aboveAverage="0" equalAverage="0" bottom="0" percent="0" rank="0" text="" dxfId="331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332">
      <formula>0</formula>
    </cfRule>
  </conditionalFormatting>
  <conditionalFormatting sqref="C87:J88 K88">
    <cfRule type="cellIs" priority="5" operator="notEqual" aboveAverage="0" equalAverage="0" bottom="0" percent="0" rank="0" text="" dxfId="333">
      <formula>0</formula>
    </cfRule>
  </conditionalFormatting>
  <conditionalFormatting sqref="J87:J88 K88">
    <cfRule type="cellIs" priority="6" operator="notEqual" aboveAverage="0" equalAverage="0" bottom="0" percent="0" rank="0" text="" dxfId="334">
      <formula>0</formula>
    </cfRule>
  </conditionalFormatting>
  <conditionalFormatting sqref="K88">
    <cfRule type="cellIs" priority="7" operator="notEqual" aboveAverage="0" equalAverage="0" bottom="0" percent="0" rank="0" text="" dxfId="335">
      <formula>0</formula>
    </cfRule>
  </conditionalFormatting>
  <conditionalFormatting sqref="K21:L65">
    <cfRule type="expression" priority="8" aboveAverage="0" equalAverage="0" bottom="0" percent="0" rank="0" text="" dxfId="336">
      <formula>AND($A21&gt;0,OR($K21="",$L21=""))</formula>
    </cfRule>
    <cfRule type="expression" priority="9" aboveAverage="0" equalAverage="0" bottom="0" percent="0" rank="0" text="" dxfId="337">
      <formula>($A21=0)</formula>
    </cfRule>
  </conditionalFormatting>
  <conditionalFormatting sqref="C88:K88">
    <cfRule type="cellIs" priority="10" operator="notEqual" aboveAverage="0" equalAverage="0" bottom="0" percent="0" rank="0" text="" dxfId="338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339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340">
      <formula>0</formula>
    </cfRule>
  </conditionalFormatting>
  <conditionalFormatting sqref="G17">
    <cfRule type="expression" priority="13" aboveAverage="0" equalAverage="0" bottom="0" percent="0" rank="0" text="" dxfId="341">
      <formula>ISBLANK($G$17)</formula>
    </cfRule>
  </conditionalFormatting>
  <conditionalFormatting sqref="C91:L100">
    <cfRule type="cellIs" priority="14" operator="equal" aboveAverage="0" equalAverage="0" bottom="0" percent="0" rank="0" text="" dxfId="342">
      <formula>0</formula>
    </cfRule>
  </conditionalFormatting>
  <conditionalFormatting sqref="N91:N100">
    <cfRule type="cellIs" priority="15" operator="equal" aboveAverage="0" equalAverage="0" bottom="0" percent="0" rank="0" text="" dxfId="343">
      <formula>0</formula>
    </cfRule>
  </conditionalFormatting>
  <conditionalFormatting sqref="B17">
    <cfRule type="expression" priority="16" aboveAverage="0" equalAverage="0" bottom="0" percent="0" rank="0" text="" dxfId="344">
      <formula>ISBLANK($B$17)</formula>
    </cfRule>
  </conditionalFormatting>
  <conditionalFormatting sqref="M17">
    <cfRule type="expression" priority="17" aboveAverage="0" equalAverage="0" bottom="0" percent="0" rank="0" text="" dxfId="345">
      <formula>$M$17&gt;$K$17</formula>
    </cfRule>
  </conditionalFormatting>
  <conditionalFormatting sqref="M21:M65">
    <cfRule type="cellIs" priority="18" operator="greaterThan" aboveAverage="0" equalAverage="0" bottom="0" percent="0" rank="0" text="" dxfId="346">
      <formula>3</formula>
    </cfRule>
    <cfRule type="cellIs" priority="19" operator="equal" aboveAverage="0" equalAverage="0" bottom="0" percent="0" rank="0" text="" dxfId="347">
      <formula>3</formula>
    </cfRule>
    <cfRule type="cellIs" priority="20" operator="equal" aboveAverage="0" equalAverage="0" bottom="0" percent="0" rank="0" text="" dxfId="348">
      <formula>2</formula>
    </cfRule>
    <cfRule type="cellIs" priority="21" operator="equal" aboveAverage="0" equalAverage="0" bottom="0" percent="0" rank="0" text="" dxfId="349">
      <formula>1</formula>
    </cfRule>
  </conditionalFormatting>
  <conditionalFormatting sqref="C102:L111">
    <cfRule type="cellIs" priority="22" operator="equal" aboveAverage="0" equalAverage="0" bottom="0" percent="0" rank="0" text="" dxfId="350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351">
      <formula>0</formula>
    </cfRule>
  </conditionalFormatting>
  <conditionalFormatting sqref="Q87:X88 Y88">
    <cfRule type="cellIs" priority="25" operator="notEqual" aboveAverage="0" equalAverage="0" bottom="0" percent="0" rank="0" text="" dxfId="352">
      <formula>0</formula>
    </cfRule>
  </conditionalFormatting>
  <conditionalFormatting sqref="X87:X88 Y88">
    <cfRule type="cellIs" priority="26" operator="notEqual" aboveAverage="0" equalAverage="0" bottom="0" percent="0" rank="0" text="" dxfId="353">
      <formula>0</formula>
    </cfRule>
  </conditionalFormatting>
  <conditionalFormatting sqref="Y88">
    <cfRule type="cellIs" priority="27" operator="notEqual" aboveAverage="0" equalAverage="0" bottom="0" percent="0" rank="0" text="" dxfId="354">
      <formula>0</formula>
    </cfRule>
  </conditionalFormatting>
  <conditionalFormatting sqref="Q88:Y88">
    <cfRule type="cellIs" priority="28" operator="notEqual" aboveAverage="0" equalAverage="0" bottom="0" percent="0" rank="0" text="" dxfId="355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356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357">
      <formula>0</formula>
    </cfRule>
  </conditionalFormatting>
  <conditionalFormatting sqref="O91:P100">
    <cfRule type="cellIs" priority="31" operator="equal" aboveAverage="0" equalAverage="0" bottom="0" percent="0" rank="0" text="" dxfId="358">
      <formula>0</formula>
    </cfRule>
  </conditionalFormatting>
  <conditionalFormatting sqref="B6:F15">
    <cfRule type="expression" priority="32" aboveAverage="0" equalAverage="0" bottom="0" percent="0" rank="0" text="" dxfId="359">
      <formula>$B6&lt;&gt;""</formula>
    </cfRule>
  </conditionalFormatting>
  <conditionalFormatting sqref="G6:N15">
    <cfRule type="expression" priority="33" aboveAverage="0" equalAverage="0" bottom="0" percent="0" rank="0" text="" dxfId="360">
      <formula>$B6&lt;&gt;""</formula>
    </cfRule>
  </conditionalFormatting>
  <conditionalFormatting sqref="P6:P13 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3 P15">
    <cfRule type="cellIs" priority="35" operator="equal" aboveAverage="0" equalAverage="0" bottom="0" percent="0" rank="0" text="" dxfId="361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362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11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159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232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11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363">
      <formula>"n/a"</formula>
    </cfRule>
  </conditionalFormatting>
  <conditionalFormatting sqref="K27:L27">
    <cfRule type="cellIs" priority="3" operator="equal" aboveAverage="0" equalAverage="0" bottom="0" percent="0" rank="0" text="" dxfId="364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365">
      <formula>0</formula>
    </cfRule>
  </conditionalFormatting>
  <conditionalFormatting sqref="C87:J88 K88">
    <cfRule type="cellIs" priority="5" operator="notEqual" aboveAverage="0" equalAverage="0" bottom="0" percent="0" rank="0" text="" dxfId="366">
      <formula>0</formula>
    </cfRule>
  </conditionalFormatting>
  <conditionalFormatting sqref="J87:J88 K88">
    <cfRule type="cellIs" priority="6" operator="notEqual" aboveAverage="0" equalAverage="0" bottom="0" percent="0" rank="0" text="" dxfId="367">
      <formula>0</formula>
    </cfRule>
  </conditionalFormatting>
  <conditionalFormatting sqref="K88">
    <cfRule type="cellIs" priority="7" operator="notEqual" aboveAverage="0" equalAverage="0" bottom="0" percent="0" rank="0" text="" dxfId="368">
      <formula>0</formula>
    </cfRule>
  </conditionalFormatting>
  <conditionalFormatting sqref="K21:L65">
    <cfRule type="expression" priority="8" aboveAverage="0" equalAverage="0" bottom="0" percent="0" rank="0" text="" dxfId="369">
      <formula>AND($A21&gt;0,OR($K21="",$L21=""))</formula>
    </cfRule>
    <cfRule type="expression" priority="9" aboveAverage="0" equalAverage="0" bottom="0" percent="0" rank="0" text="" dxfId="370">
      <formula>($A21=0)</formula>
    </cfRule>
  </conditionalFormatting>
  <conditionalFormatting sqref="C88:K88">
    <cfRule type="cellIs" priority="10" operator="notEqual" aboveAverage="0" equalAverage="0" bottom="0" percent="0" rank="0" text="" dxfId="371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372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373">
      <formula>0</formula>
    </cfRule>
  </conditionalFormatting>
  <conditionalFormatting sqref="G17">
    <cfRule type="expression" priority="13" aboveAverage="0" equalAverage="0" bottom="0" percent="0" rank="0" text="" dxfId="374">
      <formula>ISBLANK($G$17)</formula>
    </cfRule>
  </conditionalFormatting>
  <conditionalFormatting sqref="C91:L100">
    <cfRule type="cellIs" priority="14" operator="equal" aboveAverage="0" equalAverage="0" bottom="0" percent="0" rank="0" text="" dxfId="375">
      <formula>0</formula>
    </cfRule>
  </conditionalFormatting>
  <conditionalFormatting sqref="N91:N100">
    <cfRule type="cellIs" priority="15" operator="equal" aboveAverage="0" equalAverage="0" bottom="0" percent="0" rank="0" text="" dxfId="376">
      <formula>0</formula>
    </cfRule>
  </conditionalFormatting>
  <conditionalFormatting sqref="B17">
    <cfRule type="expression" priority="16" aboveAverage="0" equalAverage="0" bottom="0" percent="0" rank="0" text="" dxfId="377">
      <formula>ISBLANK($B$17)</formula>
    </cfRule>
  </conditionalFormatting>
  <conditionalFormatting sqref="M17">
    <cfRule type="expression" priority="17" aboveAverage="0" equalAverage="0" bottom="0" percent="0" rank="0" text="" dxfId="378">
      <formula>$M$17&gt;$K$17</formula>
    </cfRule>
  </conditionalFormatting>
  <conditionalFormatting sqref="M21:M65">
    <cfRule type="cellIs" priority="18" operator="greaterThan" aboveAverage="0" equalAverage="0" bottom="0" percent="0" rank="0" text="" dxfId="379">
      <formula>3</formula>
    </cfRule>
    <cfRule type="cellIs" priority="19" operator="equal" aboveAverage="0" equalAverage="0" bottom="0" percent="0" rank="0" text="" dxfId="380">
      <formula>3</formula>
    </cfRule>
    <cfRule type="cellIs" priority="20" operator="equal" aboveAverage="0" equalAverage="0" bottom="0" percent="0" rank="0" text="" dxfId="381">
      <formula>2</formula>
    </cfRule>
    <cfRule type="cellIs" priority="21" operator="equal" aboveAverage="0" equalAverage="0" bottom="0" percent="0" rank="0" text="" dxfId="382">
      <formula>1</formula>
    </cfRule>
  </conditionalFormatting>
  <conditionalFormatting sqref="C102:L111">
    <cfRule type="cellIs" priority="22" operator="equal" aboveAverage="0" equalAverage="0" bottom="0" percent="0" rank="0" text="" dxfId="383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384">
      <formula>0</formula>
    </cfRule>
  </conditionalFormatting>
  <conditionalFormatting sqref="Q87:X88 Y88">
    <cfRule type="cellIs" priority="25" operator="notEqual" aboveAverage="0" equalAverage="0" bottom="0" percent="0" rank="0" text="" dxfId="385">
      <formula>0</formula>
    </cfRule>
  </conditionalFormatting>
  <conditionalFormatting sqref="X87:X88 Y88">
    <cfRule type="cellIs" priority="26" operator="notEqual" aboveAverage="0" equalAverage="0" bottom="0" percent="0" rank="0" text="" dxfId="386">
      <formula>0</formula>
    </cfRule>
  </conditionalFormatting>
  <conditionalFormatting sqref="Y88">
    <cfRule type="cellIs" priority="27" operator="notEqual" aboveAverage="0" equalAverage="0" bottom="0" percent="0" rank="0" text="" dxfId="387">
      <formula>0</formula>
    </cfRule>
  </conditionalFormatting>
  <conditionalFormatting sqref="Q88:Y88">
    <cfRule type="cellIs" priority="28" operator="notEqual" aboveAverage="0" equalAverage="0" bottom="0" percent="0" rank="0" text="" dxfId="388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389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390">
      <formula>0</formula>
    </cfRule>
  </conditionalFormatting>
  <conditionalFormatting sqref="O91:P100">
    <cfRule type="cellIs" priority="31" operator="equal" aboveAverage="0" equalAverage="0" bottom="0" percent="0" rank="0" text="" dxfId="391">
      <formula>0</formula>
    </cfRule>
  </conditionalFormatting>
  <conditionalFormatting sqref="B6:F15">
    <cfRule type="expression" priority="32" aboveAverage="0" equalAverage="0" bottom="0" percent="0" rank="0" text="" dxfId="392">
      <formula>$B6&lt;&gt;""</formula>
    </cfRule>
  </conditionalFormatting>
  <conditionalFormatting sqref="G6:N15">
    <cfRule type="expression" priority="33" aboveAverage="0" equalAverage="0" bottom="0" percent="0" rank="0" text="" dxfId="393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394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395">
      <formula>0.00001</formula>
    </cfRule>
  </conditionalFormatting>
  <dataValidations count="3"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12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160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12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396">
      <formula>"n/a"</formula>
    </cfRule>
  </conditionalFormatting>
  <conditionalFormatting sqref="K27:L27">
    <cfRule type="cellIs" priority="3" operator="equal" aboveAverage="0" equalAverage="0" bottom="0" percent="0" rank="0" text="" dxfId="397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398">
      <formula>0</formula>
    </cfRule>
  </conditionalFormatting>
  <conditionalFormatting sqref="C87:J88 K88">
    <cfRule type="cellIs" priority="5" operator="notEqual" aboveAverage="0" equalAverage="0" bottom="0" percent="0" rank="0" text="" dxfId="399">
      <formula>0</formula>
    </cfRule>
  </conditionalFormatting>
  <conditionalFormatting sqref="J87:J88 K88">
    <cfRule type="cellIs" priority="6" operator="notEqual" aboveAverage="0" equalAverage="0" bottom="0" percent="0" rank="0" text="" dxfId="400">
      <formula>0</formula>
    </cfRule>
  </conditionalFormatting>
  <conditionalFormatting sqref="K88">
    <cfRule type="cellIs" priority="7" operator="notEqual" aboveAverage="0" equalAverage="0" bottom="0" percent="0" rank="0" text="" dxfId="401">
      <formula>0</formula>
    </cfRule>
  </conditionalFormatting>
  <conditionalFormatting sqref="K21:L65">
    <cfRule type="expression" priority="8" aboveAverage="0" equalAverage="0" bottom="0" percent="0" rank="0" text="" dxfId="402">
      <formula>AND($A21&gt;0,OR($K21="",$L21=""))</formula>
    </cfRule>
    <cfRule type="expression" priority="9" aboveAverage="0" equalAverage="0" bottom="0" percent="0" rank="0" text="" dxfId="403">
      <formula>($A21=0)</formula>
    </cfRule>
  </conditionalFormatting>
  <conditionalFormatting sqref="C88:K88">
    <cfRule type="cellIs" priority="10" operator="notEqual" aboveAverage="0" equalAverage="0" bottom="0" percent="0" rank="0" text="" dxfId="404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405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406">
      <formula>0</formula>
    </cfRule>
  </conditionalFormatting>
  <conditionalFormatting sqref="G17">
    <cfRule type="expression" priority="13" aboveAverage="0" equalAverage="0" bottom="0" percent="0" rank="0" text="" dxfId="407">
      <formula>ISBLANK($G$17)</formula>
    </cfRule>
  </conditionalFormatting>
  <conditionalFormatting sqref="C91:L100">
    <cfRule type="cellIs" priority="14" operator="equal" aboveAverage="0" equalAverage="0" bottom="0" percent="0" rank="0" text="" dxfId="408">
      <formula>0</formula>
    </cfRule>
  </conditionalFormatting>
  <conditionalFormatting sqref="N91:N100">
    <cfRule type="cellIs" priority="15" operator="equal" aboveAverage="0" equalAverage="0" bottom="0" percent="0" rank="0" text="" dxfId="409">
      <formula>0</formula>
    </cfRule>
  </conditionalFormatting>
  <conditionalFormatting sqref="B17">
    <cfRule type="expression" priority="16" aboveAverage="0" equalAverage="0" bottom="0" percent="0" rank="0" text="" dxfId="410">
      <formula>ISBLANK($B$17)</formula>
    </cfRule>
  </conditionalFormatting>
  <conditionalFormatting sqref="M17">
    <cfRule type="expression" priority="17" aboveAverage="0" equalAverage="0" bottom="0" percent="0" rank="0" text="" dxfId="411">
      <formula>$M$17&gt;$K$17</formula>
    </cfRule>
  </conditionalFormatting>
  <conditionalFormatting sqref="M21:M65">
    <cfRule type="cellIs" priority="18" operator="greaterThan" aboveAverage="0" equalAverage="0" bottom="0" percent="0" rank="0" text="" dxfId="412">
      <formula>3</formula>
    </cfRule>
    <cfRule type="cellIs" priority="19" operator="equal" aboveAverage="0" equalAverage="0" bottom="0" percent="0" rank="0" text="" dxfId="413">
      <formula>3</formula>
    </cfRule>
    <cfRule type="cellIs" priority="20" operator="equal" aboveAverage="0" equalAverage="0" bottom="0" percent="0" rank="0" text="" dxfId="414">
      <formula>2</formula>
    </cfRule>
    <cfRule type="cellIs" priority="21" operator="equal" aboveAverage="0" equalAverage="0" bottom="0" percent="0" rank="0" text="" dxfId="415">
      <formula>1</formula>
    </cfRule>
  </conditionalFormatting>
  <conditionalFormatting sqref="C102:L111">
    <cfRule type="cellIs" priority="22" operator="equal" aboveAverage="0" equalAverage="0" bottom="0" percent="0" rank="0" text="" dxfId="416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417">
      <formula>0</formula>
    </cfRule>
  </conditionalFormatting>
  <conditionalFormatting sqref="Q87:X88 Y88">
    <cfRule type="cellIs" priority="25" operator="notEqual" aboveAverage="0" equalAverage="0" bottom="0" percent="0" rank="0" text="" dxfId="418">
      <formula>0</formula>
    </cfRule>
  </conditionalFormatting>
  <conditionalFormatting sqref="X87:X88 Y88">
    <cfRule type="cellIs" priority="26" operator="notEqual" aboveAverage="0" equalAverage="0" bottom="0" percent="0" rank="0" text="" dxfId="419">
      <formula>0</formula>
    </cfRule>
  </conditionalFormatting>
  <conditionalFormatting sqref="Y88">
    <cfRule type="cellIs" priority="27" operator="notEqual" aboveAverage="0" equalAverage="0" bottom="0" percent="0" rank="0" text="" dxfId="420">
      <formula>0</formula>
    </cfRule>
  </conditionalFormatting>
  <conditionalFormatting sqref="Q88:Y88">
    <cfRule type="cellIs" priority="28" operator="notEqual" aboveAverage="0" equalAverage="0" bottom="0" percent="0" rank="0" text="" dxfId="421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422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423">
      <formula>0</formula>
    </cfRule>
  </conditionalFormatting>
  <conditionalFormatting sqref="O91:P100">
    <cfRule type="cellIs" priority="31" operator="equal" aboveAverage="0" equalAverage="0" bottom="0" percent="0" rank="0" text="" dxfId="424">
      <formula>0</formula>
    </cfRule>
  </conditionalFormatting>
  <conditionalFormatting sqref="B6:F15">
    <cfRule type="expression" priority="32" aboveAverage="0" equalAverage="0" bottom="0" percent="0" rank="0" text="" dxfId="425">
      <formula>$B6&lt;&gt;""</formula>
    </cfRule>
  </conditionalFormatting>
  <conditionalFormatting sqref="G6:N15">
    <cfRule type="expression" priority="33" aboveAverage="0" equalAverage="0" bottom="0" percent="0" rank="0" text="" dxfId="426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427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428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13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161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13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429">
      <formula>"n/a"</formula>
    </cfRule>
  </conditionalFormatting>
  <conditionalFormatting sqref="K27:L27">
    <cfRule type="cellIs" priority="3" operator="equal" aboveAverage="0" equalAverage="0" bottom="0" percent="0" rank="0" text="" dxfId="430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431">
      <formula>0</formula>
    </cfRule>
  </conditionalFormatting>
  <conditionalFormatting sqref="C87:J88 K88">
    <cfRule type="cellIs" priority="5" operator="notEqual" aboveAverage="0" equalAverage="0" bottom="0" percent="0" rank="0" text="" dxfId="432">
      <formula>0</formula>
    </cfRule>
  </conditionalFormatting>
  <conditionalFormatting sqref="J87:J88 K88">
    <cfRule type="cellIs" priority="6" operator="notEqual" aboveAverage="0" equalAverage="0" bottom="0" percent="0" rank="0" text="" dxfId="433">
      <formula>0</formula>
    </cfRule>
  </conditionalFormatting>
  <conditionalFormatting sqref="K88">
    <cfRule type="cellIs" priority="7" operator="notEqual" aboveAverage="0" equalAverage="0" bottom="0" percent="0" rank="0" text="" dxfId="434">
      <formula>0</formula>
    </cfRule>
  </conditionalFormatting>
  <conditionalFormatting sqref="K21:L65">
    <cfRule type="expression" priority="8" aboveAverage="0" equalAverage="0" bottom="0" percent="0" rank="0" text="" dxfId="435">
      <formula>AND($A21&gt;0,OR($K21="",$L21=""))</formula>
    </cfRule>
    <cfRule type="expression" priority="9" aboveAverage="0" equalAverage="0" bottom="0" percent="0" rank="0" text="" dxfId="436">
      <formula>($A21=0)</formula>
    </cfRule>
  </conditionalFormatting>
  <conditionalFormatting sqref="C88:K88">
    <cfRule type="cellIs" priority="10" operator="notEqual" aboveAverage="0" equalAverage="0" bottom="0" percent="0" rank="0" text="" dxfId="437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438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439">
      <formula>0</formula>
    </cfRule>
  </conditionalFormatting>
  <conditionalFormatting sqref="G17">
    <cfRule type="expression" priority="13" aboveAverage="0" equalAverage="0" bottom="0" percent="0" rank="0" text="" dxfId="440">
      <formula>ISBLANK($G$17)</formula>
    </cfRule>
  </conditionalFormatting>
  <conditionalFormatting sqref="C91:L100">
    <cfRule type="cellIs" priority="14" operator="equal" aboveAverage="0" equalAverage="0" bottom="0" percent="0" rank="0" text="" dxfId="441">
      <formula>0</formula>
    </cfRule>
  </conditionalFormatting>
  <conditionalFormatting sqref="N91:N100">
    <cfRule type="cellIs" priority="15" operator="equal" aboveAverage="0" equalAverage="0" bottom="0" percent="0" rank="0" text="" dxfId="442">
      <formula>0</formula>
    </cfRule>
  </conditionalFormatting>
  <conditionalFormatting sqref="B17">
    <cfRule type="expression" priority="16" aboveAverage="0" equalAverage="0" bottom="0" percent="0" rank="0" text="" dxfId="443">
      <formula>ISBLANK($B$17)</formula>
    </cfRule>
  </conditionalFormatting>
  <conditionalFormatting sqref="M17">
    <cfRule type="expression" priority="17" aboveAverage="0" equalAverage="0" bottom="0" percent="0" rank="0" text="" dxfId="444">
      <formula>$M$17&gt;$K$17</formula>
    </cfRule>
  </conditionalFormatting>
  <conditionalFormatting sqref="M21:M65">
    <cfRule type="cellIs" priority="18" operator="greaterThan" aboveAverage="0" equalAverage="0" bottom="0" percent="0" rank="0" text="" dxfId="445">
      <formula>3</formula>
    </cfRule>
    <cfRule type="cellIs" priority="19" operator="equal" aboveAverage="0" equalAverage="0" bottom="0" percent="0" rank="0" text="" dxfId="446">
      <formula>3</formula>
    </cfRule>
    <cfRule type="cellIs" priority="20" operator="equal" aboveAverage="0" equalAverage="0" bottom="0" percent="0" rank="0" text="" dxfId="447">
      <formula>2</formula>
    </cfRule>
    <cfRule type="cellIs" priority="21" operator="equal" aboveAverage="0" equalAverage="0" bottom="0" percent="0" rank="0" text="" dxfId="448">
      <formula>1</formula>
    </cfRule>
  </conditionalFormatting>
  <conditionalFormatting sqref="C102:L111">
    <cfRule type="cellIs" priority="22" operator="equal" aboveAverage="0" equalAverage="0" bottom="0" percent="0" rank="0" text="" dxfId="449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450">
      <formula>0</formula>
    </cfRule>
  </conditionalFormatting>
  <conditionalFormatting sqref="Q87:X88 Y88">
    <cfRule type="cellIs" priority="25" operator="notEqual" aboveAverage="0" equalAverage="0" bottom="0" percent="0" rank="0" text="" dxfId="451">
      <formula>0</formula>
    </cfRule>
  </conditionalFormatting>
  <conditionalFormatting sqref="X87:X88 Y88">
    <cfRule type="cellIs" priority="26" operator="notEqual" aboveAverage="0" equalAverage="0" bottom="0" percent="0" rank="0" text="" dxfId="452">
      <formula>0</formula>
    </cfRule>
  </conditionalFormatting>
  <conditionalFormatting sqref="Y88">
    <cfRule type="cellIs" priority="27" operator="notEqual" aboveAverage="0" equalAverage="0" bottom="0" percent="0" rank="0" text="" dxfId="453">
      <formula>0</formula>
    </cfRule>
  </conditionalFormatting>
  <conditionalFormatting sqref="Q88:Y88">
    <cfRule type="cellIs" priority="28" operator="notEqual" aboveAverage="0" equalAverage="0" bottom="0" percent="0" rank="0" text="" dxfId="454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455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456">
      <formula>0</formula>
    </cfRule>
  </conditionalFormatting>
  <conditionalFormatting sqref="O91:P100">
    <cfRule type="cellIs" priority="31" operator="equal" aboveAverage="0" equalAverage="0" bottom="0" percent="0" rank="0" text="" dxfId="457">
      <formula>0</formula>
    </cfRule>
  </conditionalFormatting>
  <conditionalFormatting sqref="B6:F15">
    <cfRule type="expression" priority="32" aboveAverage="0" equalAverage="0" bottom="0" percent="0" rank="0" text="" dxfId="458">
      <formula>$B6&lt;&gt;""</formula>
    </cfRule>
  </conditionalFormatting>
  <conditionalFormatting sqref="G6:N15">
    <cfRule type="expression" priority="33" aboveAverage="0" equalAverage="0" bottom="0" percent="0" rank="0" text="" dxfId="459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460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461">
      <formula>0.00001</formula>
    </cfRule>
  </conditionalFormatting>
  <dataValidations count="3"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14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162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14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462">
      <formula>"n/a"</formula>
    </cfRule>
  </conditionalFormatting>
  <conditionalFormatting sqref="K27:L27">
    <cfRule type="cellIs" priority="3" operator="equal" aboveAverage="0" equalAverage="0" bottom="0" percent="0" rank="0" text="" dxfId="463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464">
      <formula>0</formula>
    </cfRule>
  </conditionalFormatting>
  <conditionalFormatting sqref="C87:J88 K88">
    <cfRule type="cellIs" priority="5" operator="notEqual" aboveAverage="0" equalAverage="0" bottom="0" percent="0" rank="0" text="" dxfId="465">
      <formula>0</formula>
    </cfRule>
  </conditionalFormatting>
  <conditionalFormatting sqref="J87:J88 K88">
    <cfRule type="cellIs" priority="6" operator="notEqual" aboveAverage="0" equalAverage="0" bottom="0" percent="0" rank="0" text="" dxfId="466">
      <formula>0</formula>
    </cfRule>
  </conditionalFormatting>
  <conditionalFormatting sqref="K88">
    <cfRule type="cellIs" priority="7" operator="notEqual" aboveAverage="0" equalAverage="0" bottom="0" percent="0" rank="0" text="" dxfId="467">
      <formula>0</formula>
    </cfRule>
  </conditionalFormatting>
  <conditionalFormatting sqref="K21:L65">
    <cfRule type="expression" priority="8" aboveAverage="0" equalAverage="0" bottom="0" percent="0" rank="0" text="" dxfId="468">
      <formula>AND($A21&gt;0,OR($K21="",$L21=""))</formula>
    </cfRule>
    <cfRule type="expression" priority="9" aboveAverage="0" equalAverage="0" bottom="0" percent="0" rank="0" text="" dxfId="469">
      <formula>($A21=0)</formula>
    </cfRule>
  </conditionalFormatting>
  <conditionalFormatting sqref="C88:K88">
    <cfRule type="cellIs" priority="10" operator="notEqual" aboveAverage="0" equalAverage="0" bottom="0" percent="0" rank="0" text="" dxfId="470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471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472">
      <formula>0</formula>
    </cfRule>
  </conditionalFormatting>
  <conditionalFormatting sqref="G17">
    <cfRule type="expression" priority="13" aboveAverage="0" equalAverage="0" bottom="0" percent="0" rank="0" text="" dxfId="473">
      <formula>ISBLANK($G$17)</formula>
    </cfRule>
  </conditionalFormatting>
  <conditionalFormatting sqref="C91:L100">
    <cfRule type="cellIs" priority="14" operator="equal" aboveAverage="0" equalAverage="0" bottom="0" percent="0" rank="0" text="" dxfId="474">
      <formula>0</formula>
    </cfRule>
  </conditionalFormatting>
  <conditionalFormatting sqref="N91:N100">
    <cfRule type="cellIs" priority="15" operator="equal" aboveAverage="0" equalAverage="0" bottom="0" percent="0" rank="0" text="" dxfId="475">
      <formula>0</formula>
    </cfRule>
  </conditionalFormatting>
  <conditionalFormatting sqref="B17">
    <cfRule type="expression" priority="16" aboveAverage="0" equalAverage="0" bottom="0" percent="0" rank="0" text="" dxfId="476">
      <formula>ISBLANK($B$17)</formula>
    </cfRule>
  </conditionalFormatting>
  <conditionalFormatting sqref="M17">
    <cfRule type="expression" priority="17" aboveAverage="0" equalAverage="0" bottom="0" percent="0" rank="0" text="" dxfId="477">
      <formula>$M$17&gt;$K$17</formula>
    </cfRule>
  </conditionalFormatting>
  <conditionalFormatting sqref="M21:M65">
    <cfRule type="cellIs" priority="18" operator="greaterThan" aboveAverage="0" equalAverage="0" bottom="0" percent="0" rank="0" text="" dxfId="478">
      <formula>3</formula>
    </cfRule>
    <cfRule type="cellIs" priority="19" operator="equal" aboveAverage="0" equalAverage="0" bottom="0" percent="0" rank="0" text="" dxfId="479">
      <formula>3</formula>
    </cfRule>
    <cfRule type="cellIs" priority="20" operator="equal" aboveAverage="0" equalAverage="0" bottom="0" percent="0" rank="0" text="" dxfId="480">
      <formula>2</formula>
    </cfRule>
    <cfRule type="cellIs" priority="21" operator="equal" aboveAverage="0" equalAverage="0" bottom="0" percent="0" rank="0" text="" dxfId="481">
      <formula>1</formula>
    </cfRule>
  </conditionalFormatting>
  <conditionalFormatting sqref="C102:L111">
    <cfRule type="cellIs" priority="22" operator="equal" aboveAverage="0" equalAverage="0" bottom="0" percent="0" rank="0" text="" dxfId="482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483">
      <formula>0</formula>
    </cfRule>
  </conditionalFormatting>
  <conditionalFormatting sqref="Q87:X88 Y88">
    <cfRule type="cellIs" priority="25" operator="notEqual" aboveAverage="0" equalAverage="0" bottom="0" percent="0" rank="0" text="" dxfId="484">
      <formula>0</formula>
    </cfRule>
  </conditionalFormatting>
  <conditionalFormatting sqref="X87:X88 Y88">
    <cfRule type="cellIs" priority="26" operator="notEqual" aboveAverage="0" equalAverage="0" bottom="0" percent="0" rank="0" text="" dxfId="485">
      <formula>0</formula>
    </cfRule>
  </conditionalFormatting>
  <conditionalFormatting sqref="Y88">
    <cfRule type="cellIs" priority="27" operator="notEqual" aboveAverage="0" equalAverage="0" bottom="0" percent="0" rank="0" text="" dxfId="486">
      <formula>0</formula>
    </cfRule>
  </conditionalFormatting>
  <conditionalFormatting sqref="Q88:Y88">
    <cfRule type="cellIs" priority="28" operator="notEqual" aboveAverage="0" equalAverage="0" bottom="0" percent="0" rank="0" text="" dxfId="487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488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489">
      <formula>0</formula>
    </cfRule>
  </conditionalFormatting>
  <conditionalFormatting sqref="O91:P100">
    <cfRule type="cellIs" priority="31" operator="equal" aboveAverage="0" equalAverage="0" bottom="0" percent="0" rank="0" text="" dxfId="490">
      <formula>0</formula>
    </cfRule>
  </conditionalFormatting>
  <conditionalFormatting sqref="B6:F15">
    <cfRule type="expression" priority="32" aboveAverage="0" equalAverage="0" bottom="0" percent="0" rank="0" text="" dxfId="491">
      <formula>$B6&lt;&gt;""</formula>
    </cfRule>
  </conditionalFormatting>
  <conditionalFormatting sqref="G6:N15">
    <cfRule type="expression" priority="33" aboveAverage="0" equalAverage="0" bottom="0" percent="0" rank="0" text="" dxfId="492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493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494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15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163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15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495">
      <formula>"n/a"</formula>
    </cfRule>
  </conditionalFormatting>
  <conditionalFormatting sqref="K27:L27">
    <cfRule type="cellIs" priority="3" operator="equal" aboveAverage="0" equalAverage="0" bottom="0" percent="0" rank="0" text="" dxfId="496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497">
      <formula>0</formula>
    </cfRule>
  </conditionalFormatting>
  <conditionalFormatting sqref="C87:J88 K88">
    <cfRule type="cellIs" priority="5" operator="notEqual" aboveAverage="0" equalAverage="0" bottom="0" percent="0" rank="0" text="" dxfId="498">
      <formula>0</formula>
    </cfRule>
  </conditionalFormatting>
  <conditionalFormatting sqref="J87:J88 K88">
    <cfRule type="cellIs" priority="6" operator="notEqual" aboveAverage="0" equalAverage="0" bottom="0" percent="0" rank="0" text="" dxfId="499">
      <formula>0</formula>
    </cfRule>
  </conditionalFormatting>
  <conditionalFormatting sqref="K88">
    <cfRule type="cellIs" priority="7" operator="notEqual" aboveAverage="0" equalAverage="0" bottom="0" percent="0" rank="0" text="" dxfId="500">
      <formula>0</formula>
    </cfRule>
  </conditionalFormatting>
  <conditionalFormatting sqref="K21:L65">
    <cfRule type="expression" priority="8" aboveAverage="0" equalAverage="0" bottom="0" percent="0" rank="0" text="" dxfId="501">
      <formula>AND($A21&gt;0,OR($K21="",$L21=""))</formula>
    </cfRule>
    <cfRule type="expression" priority="9" aboveAverage="0" equalAverage="0" bottom="0" percent="0" rank="0" text="" dxfId="502">
      <formula>($A21=0)</formula>
    </cfRule>
  </conditionalFormatting>
  <conditionalFormatting sqref="C88:K88">
    <cfRule type="cellIs" priority="10" operator="notEqual" aboveAverage="0" equalAverage="0" bottom="0" percent="0" rank="0" text="" dxfId="503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504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505">
      <formula>0</formula>
    </cfRule>
  </conditionalFormatting>
  <conditionalFormatting sqref="G17">
    <cfRule type="expression" priority="13" aboveAverage="0" equalAverage="0" bottom="0" percent="0" rank="0" text="" dxfId="506">
      <formula>ISBLANK($G$17)</formula>
    </cfRule>
  </conditionalFormatting>
  <conditionalFormatting sqref="C91:L100">
    <cfRule type="cellIs" priority="14" operator="equal" aboveAverage="0" equalAverage="0" bottom="0" percent="0" rank="0" text="" dxfId="507">
      <formula>0</formula>
    </cfRule>
  </conditionalFormatting>
  <conditionalFormatting sqref="N91:N100">
    <cfRule type="cellIs" priority="15" operator="equal" aboveAverage="0" equalAverage="0" bottom="0" percent="0" rank="0" text="" dxfId="508">
      <formula>0</formula>
    </cfRule>
  </conditionalFormatting>
  <conditionalFormatting sqref="B17">
    <cfRule type="expression" priority="16" aboveAverage="0" equalAverage="0" bottom="0" percent="0" rank="0" text="" dxfId="509">
      <formula>ISBLANK($B$17)</formula>
    </cfRule>
  </conditionalFormatting>
  <conditionalFormatting sqref="M17">
    <cfRule type="expression" priority="17" aboveAverage="0" equalAverage="0" bottom="0" percent="0" rank="0" text="" dxfId="510">
      <formula>$M$17&gt;$K$17</formula>
    </cfRule>
  </conditionalFormatting>
  <conditionalFormatting sqref="M21:M65">
    <cfRule type="cellIs" priority="18" operator="greaterThan" aboveAverage="0" equalAverage="0" bottom="0" percent="0" rank="0" text="" dxfId="511">
      <formula>3</formula>
    </cfRule>
    <cfRule type="cellIs" priority="19" operator="equal" aboveAverage="0" equalAverage="0" bottom="0" percent="0" rank="0" text="" dxfId="512">
      <formula>3</formula>
    </cfRule>
    <cfRule type="cellIs" priority="20" operator="equal" aboveAverage="0" equalAverage="0" bottom="0" percent="0" rank="0" text="" dxfId="513">
      <formula>2</formula>
    </cfRule>
    <cfRule type="cellIs" priority="21" operator="equal" aboveAverage="0" equalAverage="0" bottom="0" percent="0" rank="0" text="" dxfId="514">
      <formula>1</formula>
    </cfRule>
  </conditionalFormatting>
  <conditionalFormatting sqref="C102:L111">
    <cfRule type="cellIs" priority="22" operator="equal" aboveAverage="0" equalAverage="0" bottom="0" percent="0" rank="0" text="" dxfId="515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516">
      <formula>0</formula>
    </cfRule>
  </conditionalFormatting>
  <conditionalFormatting sqref="Q87:X88 Y88">
    <cfRule type="cellIs" priority="25" operator="notEqual" aboveAverage="0" equalAverage="0" bottom="0" percent="0" rank="0" text="" dxfId="517">
      <formula>0</formula>
    </cfRule>
  </conditionalFormatting>
  <conditionalFormatting sqref="X87:X88 Y88">
    <cfRule type="cellIs" priority="26" operator="notEqual" aboveAverage="0" equalAverage="0" bottom="0" percent="0" rank="0" text="" dxfId="518">
      <formula>0</formula>
    </cfRule>
  </conditionalFormatting>
  <conditionalFormatting sqref="Y88">
    <cfRule type="cellIs" priority="27" operator="notEqual" aboveAverage="0" equalAverage="0" bottom="0" percent="0" rank="0" text="" dxfId="519">
      <formula>0</formula>
    </cfRule>
  </conditionalFormatting>
  <conditionalFormatting sqref="Q88:Y88">
    <cfRule type="cellIs" priority="28" operator="notEqual" aboveAverage="0" equalAverage="0" bottom="0" percent="0" rank="0" text="" dxfId="520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521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522">
      <formula>0</formula>
    </cfRule>
  </conditionalFormatting>
  <conditionalFormatting sqref="O91:P100">
    <cfRule type="cellIs" priority="31" operator="equal" aboveAverage="0" equalAverage="0" bottom="0" percent="0" rank="0" text="" dxfId="523">
      <formula>0</formula>
    </cfRule>
  </conditionalFormatting>
  <conditionalFormatting sqref="B6:F15">
    <cfRule type="expression" priority="32" aboveAverage="0" equalAverage="0" bottom="0" percent="0" rank="0" text="" dxfId="524">
      <formula>$B6&lt;&gt;""</formula>
    </cfRule>
  </conditionalFormatting>
  <conditionalFormatting sqref="G6:N15">
    <cfRule type="expression" priority="33" aboveAverage="0" equalAverage="0" bottom="0" percent="0" rank="0" text="" dxfId="525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526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527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16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164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16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528">
      <formula>"n/a"</formula>
    </cfRule>
  </conditionalFormatting>
  <conditionalFormatting sqref="K27:L27">
    <cfRule type="cellIs" priority="3" operator="equal" aboveAverage="0" equalAverage="0" bottom="0" percent="0" rank="0" text="" dxfId="529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530">
      <formula>0</formula>
    </cfRule>
  </conditionalFormatting>
  <conditionalFormatting sqref="C87:J88 K88">
    <cfRule type="cellIs" priority="5" operator="notEqual" aboveAverage="0" equalAverage="0" bottom="0" percent="0" rank="0" text="" dxfId="531">
      <formula>0</formula>
    </cfRule>
  </conditionalFormatting>
  <conditionalFormatting sqref="J87:J88 K88">
    <cfRule type="cellIs" priority="6" operator="notEqual" aboveAverage="0" equalAverage="0" bottom="0" percent="0" rank="0" text="" dxfId="532">
      <formula>0</formula>
    </cfRule>
  </conditionalFormatting>
  <conditionalFormatting sqref="K88">
    <cfRule type="cellIs" priority="7" operator="notEqual" aboveAverage="0" equalAverage="0" bottom="0" percent="0" rank="0" text="" dxfId="533">
      <formula>0</formula>
    </cfRule>
  </conditionalFormatting>
  <conditionalFormatting sqref="K21:L65">
    <cfRule type="expression" priority="8" aboveAverage="0" equalAverage="0" bottom="0" percent="0" rank="0" text="" dxfId="534">
      <formula>AND($A21&gt;0,OR($K21="",$L21=""))</formula>
    </cfRule>
    <cfRule type="expression" priority="9" aboveAverage="0" equalAverage="0" bottom="0" percent="0" rank="0" text="" dxfId="535">
      <formula>($A21=0)</formula>
    </cfRule>
  </conditionalFormatting>
  <conditionalFormatting sqref="C88:K88">
    <cfRule type="cellIs" priority="10" operator="notEqual" aboveAverage="0" equalAverage="0" bottom="0" percent="0" rank="0" text="" dxfId="536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537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538">
      <formula>0</formula>
    </cfRule>
  </conditionalFormatting>
  <conditionalFormatting sqref="G17">
    <cfRule type="expression" priority="13" aboveAverage="0" equalAverage="0" bottom="0" percent="0" rank="0" text="" dxfId="539">
      <formula>ISBLANK($G$17)</formula>
    </cfRule>
  </conditionalFormatting>
  <conditionalFormatting sqref="C91:L100">
    <cfRule type="cellIs" priority="14" operator="equal" aboveAverage="0" equalAverage="0" bottom="0" percent="0" rank="0" text="" dxfId="540">
      <formula>0</formula>
    </cfRule>
  </conditionalFormatting>
  <conditionalFormatting sqref="N91:N100">
    <cfRule type="cellIs" priority="15" operator="equal" aboveAverage="0" equalAverage="0" bottom="0" percent="0" rank="0" text="" dxfId="541">
      <formula>0</formula>
    </cfRule>
  </conditionalFormatting>
  <conditionalFormatting sqref="B17">
    <cfRule type="expression" priority="16" aboveAverage="0" equalAverage="0" bottom="0" percent="0" rank="0" text="" dxfId="542">
      <formula>ISBLANK($B$17)</formula>
    </cfRule>
  </conditionalFormatting>
  <conditionalFormatting sqref="M17">
    <cfRule type="expression" priority="17" aboveAverage="0" equalAverage="0" bottom="0" percent="0" rank="0" text="" dxfId="543">
      <formula>$M$17&gt;$K$17</formula>
    </cfRule>
  </conditionalFormatting>
  <conditionalFormatting sqref="M21:M65">
    <cfRule type="cellIs" priority="18" operator="greaterThan" aboveAverage="0" equalAverage="0" bottom="0" percent="0" rank="0" text="" dxfId="544">
      <formula>3</formula>
    </cfRule>
    <cfRule type="cellIs" priority="19" operator="equal" aboveAverage="0" equalAverage="0" bottom="0" percent="0" rank="0" text="" dxfId="545">
      <formula>3</formula>
    </cfRule>
    <cfRule type="cellIs" priority="20" operator="equal" aboveAverage="0" equalAverage="0" bottom="0" percent="0" rank="0" text="" dxfId="546">
      <formula>2</formula>
    </cfRule>
    <cfRule type="cellIs" priority="21" operator="equal" aboveAverage="0" equalAverage="0" bottom="0" percent="0" rank="0" text="" dxfId="547">
      <formula>1</formula>
    </cfRule>
  </conditionalFormatting>
  <conditionalFormatting sqref="C102:L111">
    <cfRule type="cellIs" priority="22" operator="equal" aboveAverage="0" equalAverage="0" bottom="0" percent="0" rank="0" text="" dxfId="548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549">
      <formula>0</formula>
    </cfRule>
  </conditionalFormatting>
  <conditionalFormatting sqref="Q87:X88 Y88">
    <cfRule type="cellIs" priority="25" operator="notEqual" aboveAverage="0" equalAverage="0" bottom="0" percent="0" rank="0" text="" dxfId="550">
      <formula>0</formula>
    </cfRule>
  </conditionalFormatting>
  <conditionalFormatting sqref="X87:X88 Y88">
    <cfRule type="cellIs" priority="26" operator="notEqual" aboveAverage="0" equalAverage="0" bottom="0" percent="0" rank="0" text="" dxfId="551">
      <formula>0</formula>
    </cfRule>
  </conditionalFormatting>
  <conditionalFormatting sqref="Y88">
    <cfRule type="cellIs" priority="27" operator="notEqual" aboveAverage="0" equalAverage="0" bottom="0" percent="0" rank="0" text="" dxfId="552">
      <formula>0</formula>
    </cfRule>
  </conditionalFormatting>
  <conditionalFormatting sqref="Q88:Y88">
    <cfRule type="cellIs" priority="28" operator="notEqual" aboveAverage="0" equalAverage="0" bottom="0" percent="0" rank="0" text="" dxfId="553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554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555">
      <formula>0</formula>
    </cfRule>
  </conditionalFormatting>
  <conditionalFormatting sqref="O91:P100">
    <cfRule type="cellIs" priority="31" operator="equal" aboveAverage="0" equalAverage="0" bottom="0" percent="0" rank="0" text="" dxfId="556">
      <formula>0</formula>
    </cfRule>
  </conditionalFormatting>
  <conditionalFormatting sqref="B6:F15">
    <cfRule type="expression" priority="32" aboveAverage="0" equalAverage="0" bottom="0" percent="0" rank="0" text="" dxfId="557">
      <formula>$B6&lt;&gt;""</formula>
    </cfRule>
  </conditionalFormatting>
  <conditionalFormatting sqref="G6:N15">
    <cfRule type="expression" priority="33" aboveAverage="0" equalAverage="0" bottom="0" percent="0" rank="0" text="" dxfId="558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559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560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17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165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17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561">
      <formula>"n/a"</formula>
    </cfRule>
  </conditionalFormatting>
  <conditionalFormatting sqref="K27:L27">
    <cfRule type="cellIs" priority="3" operator="equal" aboveAverage="0" equalAverage="0" bottom="0" percent="0" rank="0" text="" dxfId="562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563">
      <formula>0</formula>
    </cfRule>
  </conditionalFormatting>
  <conditionalFormatting sqref="C87:J88 K88">
    <cfRule type="cellIs" priority="5" operator="notEqual" aboveAverage="0" equalAverage="0" bottom="0" percent="0" rank="0" text="" dxfId="564">
      <formula>0</formula>
    </cfRule>
  </conditionalFormatting>
  <conditionalFormatting sqref="J87:J88 K88">
    <cfRule type="cellIs" priority="6" operator="notEqual" aboveAverage="0" equalAverage="0" bottom="0" percent="0" rank="0" text="" dxfId="565">
      <formula>0</formula>
    </cfRule>
  </conditionalFormatting>
  <conditionalFormatting sqref="K88">
    <cfRule type="cellIs" priority="7" operator="notEqual" aboveAverage="0" equalAverage="0" bottom="0" percent="0" rank="0" text="" dxfId="566">
      <formula>0</formula>
    </cfRule>
  </conditionalFormatting>
  <conditionalFormatting sqref="K21:L65">
    <cfRule type="expression" priority="8" aboveAverage="0" equalAverage="0" bottom="0" percent="0" rank="0" text="" dxfId="567">
      <formula>AND($A21&gt;0,OR($K21="",$L21=""))</formula>
    </cfRule>
    <cfRule type="expression" priority="9" aboveAverage="0" equalAverage="0" bottom="0" percent="0" rank="0" text="" dxfId="568">
      <formula>($A21=0)</formula>
    </cfRule>
  </conditionalFormatting>
  <conditionalFormatting sqref="C88:K88">
    <cfRule type="cellIs" priority="10" operator="notEqual" aboveAverage="0" equalAverage="0" bottom="0" percent="0" rank="0" text="" dxfId="569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570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571">
      <formula>0</formula>
    </cfRule>
  </conditionalFormatting>
  <conditionalFormatting sqref="G17">
    <cfRule type="expression" priority="13" aboveAverage="0" equalAverage="0" bottom="0" percent="0" rank="0" text="" dxfId="572">
      <formula>ISBLANK($G$17)</formula>
    </cfRule>
  </conditionalFormatting>
  <conditionalFormatting sqref="C91:L100">
    <cfRule type="cellIs" priority="14" operator="equal" aboveAverage="0" equalAverage="0" bottom="0" percent="0" rank="0" text="" dxfId="573">
      <formula>0</formula>
    </cfRule>
  </conditionalFormatting>
  <conditionalFormatting sqref="N91:N100">
    <cfRule type="cellIs" priority="15" operator="equal" aboveAverage="0" equalAverage="0" bottom="0" percent="0" rank="0" text="" dxfId="574">
      <formula>0</formula>
    </cfRule>
  </conditionalFormatting>
  <conditionalFormatting sqref="B17">
    <cfRule type="expression" priority="16" aboveAverage="0" equalAverage="0" bottom="0" percent="0" rank="0" text="" dxfId="575">
      <formula>ISBLANK($B$17)</formula>
    </cfRule>
  </conditionalFormatting>
  <conditionalFormatting sqref="M17">
    <cfRule type="expression" priority="17" aboveAverage="0" equalAverage="0" bottom="0" percent="0" rank="0" text="" dxfId="576">
      <formula>$M$17&gt;$K$17</formula>
    </cfRule>
  </conditionalFormatting>
  <conditionalFormatting sqref="M21:M65">
    <cfRule type="cellIs" priority="18" operator="greaterThan" aboveAverage="0" equalAverage="0" bottom="0" percent="0" rank="0" text="" dxfId="577">
      <formula>3</formula>
    </cfRule>
    <cfRule type="cellIs" priority="19" operator="equal" aboveAverage="0" equalAverage="0" bottom="0" percent="0" rank="0" text="" dxfId="578">
      <formula>3</formula>
    </cfRule>
    <cfRule type="cellIs" priority="20" operator="equal" aboveAverage="0" equalAverage="0" bottom="0" percent="0" rank="0" text="" dxfId="579">
      <formula>2</formula>
    </cfRule>
    <cfRule type="cellIs" priority="21" operator="equal" aboveAverage="0" equalAverage="0" bottom="0" percent="0" rank="0" text="" dxfId="580">
      <formula>1</formula>
    </cfRule>
  </conditionalFormatting>
  <conditionalFormatting sqref="C102:L111">
    <cfRule type="cellIs" priority="22" operator="equal" aboveAverage="0" equalAverage="0" bottom="0" percent="0" rank="0" text="" dxfId="581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582">
      <formula>0</formula>
    </cfRule>
  </conditionalFormatting>
  <conditionalFormatting sqref="Q87:X88 Y88">
    <cfRule type="cellIs" priority="25" operator="notEqual" aboveAverage="0" equalAverage="0" bottom="0" percent="0" rank="0" text="" dxfId="583">
      <formula>0</formula>
    </cfRule>
  </conditionalFormatting>
  <conditionalFormatting sqref="X87:X88 Y88">
    <cfRule type="cellIs" priority="26" operator="notEqual" aboveAverage="0" equalAverage="0" bottom="0" percent="0" rank="0" text="" dxfId="584">
      <formula>0</formula>
    </cfRule>
  </conditionalFormatting>
  <conditionalFormatting sqref="Y88">
    <cfRule type="cellIs" priority="27" operator="notEqual" aboveAverage="0" equalAverage="0" bottom="0" percent="0" rank="0" text="" dxfId="585">
      <formula>0</formula>
    </cfRule>
  </conditionalFormatting>
  <conditionalFormatting sqref="Q88:Y88">
    <cfRule type="cellIs" priority="28" operator="notEqual" aboveAverage="0" equalAverage="0" bottom="0" percent="0" rank="0" text="" dxfId="586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587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588">
      <formula>0</formula>
    </cfRule>
  </conditionalFormatting>
  <conditionalFormatting sqref="O91:P100">
    <cfRule type="cellIs" priority="31" operator="equal" aboveAverage="0" equalAverage="0" bottom="0" percent="0" rank="0" text="" dxfId="589">
      <formula>0</formula>
    </cfRule>
  </conditionalFormatting>
  <conditionalFormatting sqref="B6:F15">
    <cfRule type="expression" priority="32" aboveAverage="0" equalAverage="0" bottom="0" percent="0" rank="0" text="" dxfId="590">
      <formula>$B6&lt;&gt;""</formula>
    </cfRule>
  </conditionalFormatting>
  <conditionalFormatting sqref="G6:N15">
    <cfRule type="expression" priority="33" aboveAverage="0" equalAverage="0" bottom="0" percent="0" rank="0" text="" dxfId="591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592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593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18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166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18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594">
      <formula>"n/a"</formula>
    </cfRule>
  </conditionalFormatting>
  <conditionalFormatting sqref="K27:L27">
    <cfRule type="cellIs" priority="3" operator="equal" aboveAverage="0" equalAverage="0" bottom="0" percent="0" rank="0" text="" dxfId="595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596">
      <formula>0</formula>
    </cfRule>
  </conditionalFormatting>
  <conditionalFormatting sqref="C87:J88 K88">
    <cfRule type="cellIs" priority="5" operator="notEqual" aboveAverage="0" equalAverage="0" bottom="0" percent="0" rank="0" text="" dxfId="597">
      <formula>0</formula>
    </cfRule>
  </conditionalFormatting>
  <conditionalFormatting sqref="J87:J88 K88">
    <cfRule type="cellIs" priority="6" operator="notEqual" aboveAverage="0" equalAverage="0" bottom="0" percent="0" rank="0" text="" dxfId="598">
      <formula>0</formula>
    </cfRule>
  </conditionalFormatting>
  <conditionalFormatting sqref="K88">
    <cfRule type="cellIs" priority="7" operator="notEqual" aboveAverage="0" equalAverage="0" bottom="0" percent="0" rank="0" text="" dxfId="599">
      <formula>0</formula>
    </cfRule>
  </conditionalFormatting>
  <conditionalFormatting sqref="K21:L65">
    <cfRule type="expression" priority="8" aboveAverage="0" equalAverage="0" bottom="0" percent="0" rank="0" text="" dxfId="600">
      <formula>AND($A21&gt;0,OR($K21="",$L21=""))</formula>
    </cfRule>
    <cfRule type="expression" priority="9" aboveAverage="0" equalAverage="0" bottom="0" percent="0" rank="0" text="" dxfId="601">
      <formula>($A21=0)</formula>
    </cfRule>
  </conditionalFormatting>
  <conditionalFormatting sqref="C88:K88">
    <cfRule type="cellIs" priority="10" operator="notEqual" aboveAverage="0" equalAverage="0" bottom="0" percent="0" rank="0" text="" dxfId="602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603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604">
      <formula>0</formula>
    </cfRule>
  </conditionalFormatting>
  <conditionalFormatting sqref="G17">
    <cfRule type="expression" priority="13" aboveAverage="0" equalAverage="0" bottom="0" percent="0" rank="0" text="" dxfId="605">
      <formula>ISBLANK($G$17)</formula>
    </cfRule>
  </conditionalFormatting>
  <conditionalFormatting sqref="C91:L100">
    <cfRule type="cellIs" priority="14" operator="equal" aboveAverage="0" equalAverage="0" bottom="0" percent="0" rank="0" text="" dxfId="606">
      <formula>0</formula>
    </cfRule>
  </conditionalFormatting>
  <conditionalFormatting sqref="N91:N100">
    <cfRule type="cellIs" priority="15" operator="equal" aboveAverage="0" equalAverage="0" bottom="0" percent="0" rank="0" text="" dxfId="607">
      <formula>0</formula>
    </cfRule>
  </conditionalFormatting>
  <conditionalFormatting sqref="B17">
    <cfRule type="expression" priority="16" aboveAverage="0" equalAverage="0" bottom="0" percent="0" rank="0" text="" dxfId="608">
      <formula>ISBLANK($B$17)</formula>
    </cfRule>
  </conditionalFormatting>
  <conditionalFormatting sqref="M17">
    <cfRule type="expression" priority="17" aboveAverage="0" equalAverage="0" bottom="0" percent="0" rank="0" text="" dxfId="609">
      <formula>$M$17&gt;$K$17</formula>
    </cfRule>
  </conditionalFormatting>
  <conditionalFormatting sqref="M21:M65">
    <cfRule type="cellIs" priority="18" operator="greaterThan" aboveAverage="0" equalAverage="0" bottom="0" percent="0" rank="0" text="" dxfId="610">
      <formula>3</formula>
    </cfRule>
    <cfRule type="cellIs" priority="19" operator="equal" aboveAverage="0" equalAverage="0" bottom="0" percent="0" rank="0" text="" dxfId="611">
      <formula>3</formula>
    </cfRule>
    <cfRule type="cellIs" priority="20" operator="equal" aboveAverage="0" equalAverage="0" bottom="0" percent="0" rank="0" text="" dxfId="612">
      <formula>2</formula>
    </cfRule>
    <cfRule type="cellIs" priority="21" operator="equal" aboveAverage="0" equalAverage="0" bottom="0" percent="0" rank="0" text="" dxfId="613">
      <formula>1</formula>
    </cfRule>
  </conditionalFormatting>
  <conditionalFormatting sqref="C102:L111">
    <cfRule type="cellIs" priority="22" operator="equal" aboveAverage="0" equalAverage="0" bottom="0" percent="0" rank="0" text="" dxfId="614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615">
      <formula>0</formula>
    </cfRule>
  </conditionalFormatting>
  <conditionalFormatting sqref="Q87:X88 Y88">
    <cfRule type="cellIs" priority="25" operator="notEqual" aboveAverage="0" equalAverage="0" bottom="0" percent="0" rank="0" text="" dxfId="616">
      <formula>0</formula>
    </cfRule>
  </conditionalFormatting>
  <conditionalFormatting sqref="X87:X88 Y88">
    <cfRule type="cellIs" priority="26" operator="notEqual" aboveAverage="0" equalAverage="0" bottom="0" percent="0" rank="0" text="" dxfId="617">
      <formula>0</formula>
    </cfRule>
  </conditionalFormatting>
  <conditionalFormatting sqref="Y88">
    <cfRule type="cellIs" priority="27" operator="notEqual" aboveAverage="0" equalAverage="0" bottom="0" percent="0" rank="0" text="" dxfId="618">
      <formula>0</formula>
    </cfRule>
  </conditionalFormatting>
  <conditionalFormatting sqref="Q88:Y88">
    <cfRule type="cellIs" priority="28" operator="notEqual" aboveAverage="0" equalAverage="0" bottom="0" percent="0" rank="0" text="" dxfId="619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620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621">
      <formula>0</formula>
    </cfRule>
  </conditionalFormatting>
  <conditionalFormatting sqref="O91:P100">
    <cfRule type="cellIs" priority="31" operator="equal" aboveAverage="0" equalAverage="0" bottom="0" percent="0" rank="0" text="" dxfId="622">
      <formula>0</formula>
    </cfRule>
  </conditionalFormatting>
  <conditionalFormatting sqref="B6:F15">
    <cfRule type="expression" priority="32" aboveAverage="0" equalAverage="0" bottom="0" percent="0" rank="0" text="" dxfId="623">
      <formula>$B6&lt;&gt;""</formula>
    </cfRule>
  </conditionalFormatting>
  <conditionalFormatting sqref="G6:N15">
    <cfRule type="expression" priority="33" aboveAverage="0" equalAverage="0" bottom="0" percent="0" rank="0" text="" dxfId="624">
      <formula>$B6&lt;&gt;""</formula>
    </cfRule>
  </conditionalFormatting>
  <conditionalFormatting sqref="P6:P12 P14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625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626">
      <formula>0.00001</formula>
    </cfRule>
  </conditionalFormatting>
  <conditionalFormatting sqref="P13:P15">
    <cfRule type="colorScale" priority="38">
      <colorScale>
        <cfvo type="min" val="0"/>
        <cfvo type="max" val="0"/>
        <color rgb="FFFCFCFF"/>
        <color rgb="FF63BE7B"/>
      </colorScale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3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19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167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61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19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627">
      <formula>"n/a"</formula>
    </cfRule>
  </conditionalFormatting>
  <conditionalFormatting sqref="K27:L27">
    <cfRule type="cellIs" priority="3" operator="equal" aboveAverage="0" equalAverage="0" bottom="0" percent="0" rank="0" text="" dxfId="628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629">
      <formula>0</formula>
    </cfRule>
  </conditionalFormatting>
  <conditionalFormatting sqref="C87:J88 K88">
    <cfRule type="cellIs" priority="5" operator="notEqual" aboveAverage="0" equalAverage="0" bottom="0" percent="0" rank="0" text="" dxfId="630">
      <formula>0</formula>
    </cfRule>
  </conditionalFormatting>
  <conditionalFormatting sqref="J87:J88 K88">
    <cfRule type="cellIs" priority="6" operator="notEqual" aboveAverage="0" equalAverage="0" bottom="0" percent="0" rank="0" text="" dxfId="631">
      <formula>0</formula>
    </cfRule>
  </conditionalFormatting>
  <conditionalFormatting sqref="K88">
    <cfRule type="cellIs" priority="7" operator="notEqual" aboveAverage="0" equalAverage="0" bottom="0" percent="0" rank="0" text="" dxfId="632">
      <formula>0</formula>
    </cfRule>
  </conditionalFormatting>
  <conditionalFormatting sqref="K21:L65">
    <cfRule type="expression" priority="8" aboveAverage="0" equalAverage="0" bottom="0" percent="0" rank="0" text="" dxfId="633">
      <formula>AND($A21&gt;0,OR($K21="",$L21=""))</formula>
    </cfRule>
    <cfRule type="expression" priority="9" aboveAverage="0" equalAverage="0" bottom="0" percent="0" rank="0" text="" dxfId="634">
      <formula>($A21=0)</formula>
    </cfRule>
  </conditionalFormatting>
  <conditionalFormatting sqref="C88:K88">
    <cfRule type="cellIs" priority="10" operator="notEqual" aboveAverage="0" equalAverage="0" bottom="0" percent="0" rank="0" text="" dxfId="635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636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637">
      <formula>0</formula>
    </cfRule>
  </conditionalFormatting>
  <conditionalFormatting sqref="G17">
    <cfRule type="expression" priority="13" aboveAverage="0" equalAverage="0" bottom="0" percent="0" rank="0" text="" dxfId="638">
      <formula>ISBLANK($G$17)</formula>
    </cfRule>
  </conditionalFormatting>
  <conditionalFormatting sqref="C91:L100">
    <cfRule type="cellIs" priority="14" operator="equal" aboveAverage="0" equalAverage="0" bottom="0" percent="0" rank="0" text="" dxfId="639">
      <formula>0</formula>
    </cfRule>
  </conditionalFormatting>
  <conditionalFormatting sqref="N91:N100">
    <cfRule type="cellIs" priority="15" operator="equal" aboveAverage="0" equalAverage="0" bottom="0" percent="0" rank="0" text="" dxfId="640">
      <formula>0</formula>
    </cfRule>
  </conditionalFormatting>
  <conditionalFormatting sqref="B17">
    <cfRule type="expression" priority="16" aboveAverage="0" equalAverage="0" bottom="0" percent="0" rank="0" text="" dxfId="641">
      <formula>ISBLANK($B$17)</formula>
    </cfRule>
  </conditionalFormatting>
  <conditionalFormatting sqref="M17">
    <cfRule type="expression" priority="17" aboveAverage="0" equalAverage="0" bottom="0" percent="0" rank="0" text="" dxfId="642">
      <formula>$M$17&gt;$K$17</formula>
    </cfRule>
  </conditionalFormatting>
  <conditionalFormatting sqref="M21:M65">
    <cfRule type="cellIs" priority="18" operator="greaterThan" aboveAverage="0" equalAverage="0" bottom="0" percent="0" rank="0" text="" dxfId="643">
      <formula>3</formula>
    </cfRule>
    <cfRule type="cellIs" priority="19" operator="equal" aboveAverage="0" equalAverage="0" bottom="0" percent="0" rank="0" text="" dxfId="644">
      <formula>3</formula>
    </cfRule>
    <cfRule type="cellIs" priority="20" operator="equal" aboveAverage="0" equalAverage="0" bottom="0" percent="0" rank="0" text="" dxfId="645">
      <formula>2</formula>
    </cfRule>
    <cfRule type="cellIs" priority="21" operator="equal" aboveAverage="0" equalAverage="0" bottom="0" percent="0" rank="0" text="" dxfId="646">
      <formula>1</formula>
    </cfRule>
  </conditionalFormatting>
  <conditionalFormatting sqref="C102:L111">
    <cfRule type="cellIs" priority="22" operator="equal" aboveAverage="0" equalAverage="0" bottom="0" percent="0" rank="0" text="" dxfId="647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648">
      <formula>0</formula>
    </cfRule>
  </conditionalFormatting>
  <conditionalFormatting sqref="Q87:X88 Y88">
    <cfRule type="cellIs" priority="25" operator="notEqual" aboveAverage="0" equalAverage="0" bottom="0" percent="0" rank="0" text="" dxfId="649">
      <formula>0</formula>
    </cfRule>
  </conditionalFormatting>
  <conditionalFormatting sqref="X87:X88 Y88">
    <cfRule type="cellIs" priority="26" operator="notEqual" aboveAverage="0" equalAverage="0" bottom="0" percent="0" rank="0" text="" dxfId="650">
      <formula>0</formula>
    </cfRule>
  </conditionalFormatting>
  <conditionalFormatting sqref="Y88">
    <cfRule type="cellIs" priority="27" operator="notEqual" aboveAverage="0" equalAverage="0" bottom="0" percent="0" rank="0" text="" dxfId="651">
      <formula>0</formula>
    </cfRule>
  </conditionalFormatting>
  <conditionalFormatting sqref="Q88:Y88">
    <cfRule type="cellIs" priority="28" operator="notEqual" aboveAverage="0" equalAverage="0" bottom="0" percent="0" rank="0" text="" dxfId="652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653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654">
      <formula>0</formula>
    </cfRule>
  </conditionalFormatting>
  <conditionalFormatting sqref="O91:P100">
    <cfRule type="cellIs" priority="31" operator="equal" aboveAverage="0" equalAverage="0" bottom="0" percent="0" rank="0" text="" dxfId="655">
      <formula>0</formula>
    </cfRule>
  </conditionalFormatting>
  <conditionalFormatting sqref="B6:F15">
    <cfRule type="expression" priority="32" aboveAverage="0" equalAverage="0" bottom="0" percent="0" rank="0" text="" dxfId="656">
      <formula>$B6&lt;&gt;""</formula>
    </cfRule>
  </conditionalFormatting>
  <conditionalFormatting sqref="G6:N15">
    <cfRule type="expression" priority="33" aboveAverage="0" equalAverage="0" bottom="0" percent="0" rank="0" text="" dxfId="657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658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659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90234375" defaultRowHeight="12.75" zeroHeight="false" outlineLevelRow="1" outlineLevelCol="0"/>
  <cols>
    <col collapsed="false" customWidth="true" hidden="false" outlineLevel="0" max="1" min="1" style="0" width="3.3"/>
    <col collapsed="false" customWidth="true" hidden="false" outlineLevel="0" max="3" min="2" style="0" width="2.71"/>
    <col collapsed="false" customWidth="true" hidden="false" outlineLevel="0" max="5" min="4" style="0" width="7"/>
    <col collapsed="false" customWidth="true" hidden="false" outlineLevel="0" max="6" min="6" style="0" width="3.71"/>
    <col collapsed="false" customWidth="true" hidden="false" outlineLevel="0" max="7" min="7" style="0" width="4.71"/>
    <col collapsed="false" customWidth="true" hidden="false" outlineLevel="0" max="10" min="8" style="0" width="6.71"/>
    <col collapsed="false" customWidth="true" hidden="false" outlineLevel="0" max="12" min="11" style="0" width="5.7"/>
    <col collapsed="false" customWidth="true" hidden="false" outlineLevel="0" max="13" min="13" style="0" width="4.71"/>
    <col collapsed="false" customWidth="true" hidden="false" outlineLevel="0" max="14" min="14" style="0" width="7.15"/>
    <col collapsed="false" customWidth="true" hidden="false" outlineLevel="0" max="16" min="15" style="0" width="5.7"/>
    <col collapsed="false" customWidth="true" hidden="false" outlineLevel="0" max="26" min="17" style="0" width="5.28"/>
    <col collapsed="false" customWidth="true" hidden="false" outlineLevel="0" max="27" min="27" style="0" width="9.13"/>
  </cols>
  <sheetData>
    <row r="1" customFormat="false" ht="18" hidden="false" customHeight="false" outlineLevel="0" collapsed="false">
      <c r="A1" s="192" t="s">
        <v>108</v>
      </c>
      <c r="B1" s="193"/>
      <c r="C1" s="193"/>
      <c r="D1" s="193"/>
      <c r="E1" s="193"/>
      <c r="F1" s="193"/>
      <c r="G1" s="194"/>
      <c r="H1" s="193"/>
      <c r="I1" s="193"/>
      <c r="J1" s="195" t="s">
        <v>109</v>
      </c>
      <c r="K1" s="196" t="n">
        <f aca="false">Summary!B5</f>
        <v>2</v>
      </c>
      <c r="L1" s="197"/>
      <c r="M1" s="193"/>
      <c r="N1" s="198" t="s">
        <v>110</v>
      </c>
      <c r="O1" s="199" t="n">
        <v>20</v>
      </c>
      <c r="P1" s="193"/>
    </row>
    <row r="2" customFormat="false" ht="12.75" hidden="false" customHeight="true" outlineLevel="0" collapsed="false">
      <c r="A2" s="200" t="s">
        <v>111</v>
      </c>
      <c r="B2" s="193"/>
      <c r="C2" s="193"/>
      <c r="D2" s="197" t="n">
        <f aca="false">Summary!B11</f>
        <v>0</v>
      </c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3"/>
    </row>
    <row r="3" customFormat="false" ht="12.75" hidden="false" customHeight="false" outlineLevel="0" collapsed="false">
      <c r="A3" s="31" t="s">
        <v>112</v>
      </c>
      <c r="B3" s="34"/>
      <c r="C3" s="27"/>
      <c r="D3" s="201"/>
      <c r="E3" s="201"/>
      <c r="F3" s="201"/>
      <c r="G3" s="34"/>
      <c r="H3" s="27"/>
      <c r="I3" s="202"/>
      <c r="J3" s="202"/>
      <c r="K3" s="202"/>
      <c r="L3" s="202"/>
      <c r="M3" s="202"/>
      <c r="N3" s="27"/>
      <c r="O3" s="27"/>
      <c r="P3" s="43"/>
    </row>
    <row r="4" customFormat="false" ht="37.5" hidden="false" customHeight="true" outlineLevel="0" collapsed="false">
      <c r="A4" s="203" t="s">
        <v>113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34"/>
    </row>
    <row r="5" customFormat="false" ht="12.75" hidden="false" customHeight="false" outlineLevel="0" collapsed="false">
      <c r="A5" s="204" t="s">
        <v>114</v>
      </c>
      <c r="B5" s="205" t="s">
        <v>115</v>
      </c>
      <c r="C5" s="206"/>
      <c r="D5" s="206"/>
      <c r="E5" s="206"/>
      <c r="F5" s="207"/>
      <c r="G5" s="208" t="s">
        <v>11</v>
      </c>
      <c r="H5" s="208"/>
      <c r="I5" s="208"/>
      <c r="J5" s="208"/>
      <c r="K5" s="208"/>
      <c r="L5" s="209"/>
      <c r="M5" s="208"/>
      <c r="N5" s="210"/>
      <c r="O5" s="211" t="s">
        <v>116</v>
      </c>
      <c r="P5" s="212" t="s">
        <v>75</v>
      </c>
    </row>
    <row r="6" customFormat="false" ht="12.75" hidden="false" customHeight="false" outlineLevel="0" collapsed="false">
      <c r="A6" s="213" t="n">
        <v>1</v>
      </c>
      <c r="B6" s="214" t="str">
        <f aca="false">IF(ISBLANK(Summary!C18),"",Summary!C18)</f>
        <v>Crit-1</v>
      </c>
      <c r="C6" s="214"/>
      <c r="D6" s="214"/>
      <c r="E6" s="214"/>
      <c r="F6" s="214"/>
      <c r="G6" s="215" t="str">
        <f aca="false">IF(ISBLANK(Summary!F18),"",Summary!F18)</f>
        <v/>
      </c>
      <c r="H6" s="215"/>
      <c r="I6" s="215"/>
      <c r="J6" s="215"/>
      <c r="K6" s="215"/>
      <c r="L6" s="215"/>
      <c r="M6" s="215"/>
      <c r="N6" s="216"/>
      <c r="O6" s="217" t="n">
        <f aca="false">O91/O$101</f>
        <v>0.5</v>
      </c>
      <c r="P6" s="218" t="n">
        <f aca="false">N91*SINH(P79)/O$101</f>
        <v>0</v>
      </c>
    </row>
    <row r="7" customFormat="false" ht="12.75" hidden="false" customHeight="false" outlineLevel="0" collapsed="false">
      <c r="A7" s="213" t="n">
        <v>2</v>
      </c>
      <c r="B7" s="214" t="str">
        <f aca="false">IF(ISBLANK(Summary!C19),"",Summary!C19)</f>
        <v>Crit-2</v>
      </c>
      <c r="C7" s="214"/>
      <c r="D7" s="214"/>
      <c r="E7" s="214"/>
      <c r="F7" s="214"/>
      <c r="G7" s="215" t="str">
        <f aca="false">IF(ISBLANK(Summary!F19),"",Summary!F19)</f>
        <v/>
      </c>
      <c r="H7" s="215"/>
      <c r="I7" s="215"/>
      <c r="J7" s="215"/>
      <c r="K7" s="215"/>
      <c r="L7" s="215"/>
      <c r="M7" s="215"/>
      <c r="N7" s="216"/>
      <c r="O7" s="217" t="n">
        <f aca="false">O92/O$101</f>
        <v>0.5</v>
      </c>
      <c r="P7" s="218" t="n">
        <f aca="false">N92*SINH(P80)/O$101</f>
        <v>0</v>
      </c>
    </row>
    <row r="8" customFormat="false" ht="12.75" hidden="false" customHeight="false" outlineLevel="0" collapsed="false">
      <c r="A8" s="213" t="n">
        <v>3</v>
      </c>
      <c r="B8" s="214" t="str">
        <f aca="false">IF(ISBLANK(Summary!C20),"",Summary!C20)</f>
        <v/>
      </c>
      <c r="C8" s="214"/>
      <c r="D8" s="214"/>
      <c r="E8" s="214"/>
      <c r="F8" s="214"/>
      <c r="G8" s="215" t="str">
        <f aca="false">IF(ISBLANK(Summary!F20),"",Summary!F20)</f>
        <v/>
      </c>
      <c r="H8" s="215"/>
      <c r="I8" s="215"/>
      <c r="J8" s="215"/>
      <c r="K8" s="215"/>
      <c r="L8" s="215"/>
      <c r="M8" s="215"/>
      <c r="N8" s="216"/>
      <c r="O8" s="217" t="n">
        <f aca="false">O93/O$101</f>
        <v>0</v>
      </c>
      <c r="P8" s="218" t="n">
        <f aca="false">N93*SINH(P81)/O$101</f>
        <v>0</v>
      </c>
    </row>
    <row r="9" customFormat="false" ht="12.75" hidden="false" customHeight="false" outlineLevel="0" collapsed="false">
      <c r="A9" s="213" t="n">
        <v>4</v>
      </c>
      <c r="B9" s="214" t="str">
        <f aca="false">IF(ISBLANK(Summary!C21),"",Summary!C21)</f>
        <v/>
      </c>
      <c r="C9" s="214"/>
      <c r="D9" s="214"/>
      <c r="E9" s="214"/>
      <c r="F9" s="214"/>
      <c r="G9" s="215" t="str">
        <f aca="false">IF(ISBLANK(Summary!F21),"",Summary!F21)</f>
        <v/>
      </c>
      <c r="H9" s="215"/>
      <c r="I9" s="215"/>
      <c r="J9" s="215"/>
      <c r="K9" s="215"/>
      <c r="L9" s="215"/>
      <c r="M9" s="215"/>
      <c r="N9" s="216"/>
      <c r="O9" s="217" t="n">
        <f aca="false">O94/O$101</f>
        <v>0</v>
      </c>
      <c r="P9" s="218" t="n">
        <f aca="false">N94*SINH(P82)/O$101</f>
        <v>0</v>
      </c>
    </row>
    <row r="10" customFormat="false" ht="12.75" hidden="false" customHeight="false" outlineLevel="0" collapsed="false">
      <c r="A10" s="213" t="n">
        <v>5</v>
      </c>
      <c r="B10" s="214" t="str">
        <f aca="false">IF(ISBLANK(Summary!C22),"",Summary!C22)</f>
        <v/>
      </c>
      <c r="C10" s="214"/>
      <c r="D10" s="214"/>
      <c r="E10" s="214"/>
      <c r="F10" s="214"/>
      <c r="G10" s="215" t="str">
        <f aca="false">IF(ISBLANK(Summary!F22),"",Summary!F22)</f>
        <v/>
      </c>
      <c r="H10" s="215"/>
      <c r="I10" s="215"/>
      <c r="J10" s="215"/>
      <c r="K10" s="215"/>
      <c r="L10" s="215"/>
      <c r="M10" s="215"/>
      <c r="N10" s="216"/>
      <c r="O10" s="217" t="n">
        <f aca="false">O95/O$101</f>
        <v>0</v>
      </c>
      <c r="P10" s="218" t="n">
        <f aca="false">N95*SINH(P83)/O$101</f>
        <v>0</v>
      </c>
    </row>
    <row r="11" customFormat="false" ht="12.75" hidden="false" customHeight="false" outlineLevel="0" collapsed="false">
      <c r="A11" s="213" t="n">
        <v>6</v>
      </c>
      <c r="B11" s="214" t="str">
        <f aca="false">IF(ISBLANK(Summary!C23),"",Summary!C23)</f>
        <v/>
      </c>
      <c r="C11" s="214"/>
      <c r="D11" s="214"/>
      <c r="E11" s="214"/>
      <c r="F11" s="214"/>
      <c r="G11" s="215" t="str">
        <f aca="false">IF(ISBLANK(Summary!F23),"",Summary!F23)</f>
        <v/>
      </c>
      <c r="H11" s="215"/>
      <c r="I11" s="215"/>
      <c r="J11" s="215"/>
      <c r="K11" s="215"/>
      <c r="L11" s="215"/>
      <c r="M11" s="215"/>
      <c r="N11" s="216"/>
      <c r="O11" s="217" t="n">
        <f aca="false">O96/O$101</f>
        <v>0</v>
      </c>
      <c r="P11" s="218" t="n">
        <f aca="false">N96*SINH(P84)/O$101</f>
        <v>0</v>
      </c>
    </row>
    <row r="12" customFormat="false" ht="12.75" hidden="false" customHeight="false" outlineLevel="0" collapsed="false">
      <c r="A12" s="213" t="n">
        <v>7</v>
      </c>
      <c r="B12" s="214" t="str">
        <f aca="false">IF(ISBLANK(Summary!C24),"",Summary!C24)</f>
        <v/>
      </c>
      <c r="C12" s="214"/>
      <c r="D12" s="214"/>
      <c r="E12" s="214"/>
      <c r="F12" s="214"/>
      <c r="G12" s="215" t="str">
        <f aca="false">IF(ISBLANK(Summary!F24),"",Summary!F24)</f>
        <v/>
      </c>
      <c r="H12" s="215"/>
      <c r="I12" s="215"/>
      <c r="J12" s="215"/>
      <c r="K12" s="215"/>
      <c r="L12" s="215"/>
      <c r="M12" s="215"/>
      <c r="N12" s="216"/>
      <c r="O12" s="217" t="n">
        <f aca="false">O97/O$101</f>
        <v>0</v>
      </c>
      <c r="P12" s="218" t="n">
        <f aca="false">N97*SINH(P85)/O$101</f>
        <v>0</v>
      </c>
    </row>
    <row r="13" customFormat="false" ht="12.8" hidden="false" customHeight="false" outlineLevel="0" collapsed="false">
      <c r="A13" s="213" t="n">
        <v>8</v>
      </c>
      <c r="B13" s="214" t="str">
        <f aca="false">IF(ISBLANK(Summary!C25),"",Summary!C25)</f>
        <v/>
      </c>
      <c r="C13" s="214"/>
      <c r="D13" s="214"/>
      <c r="E13" s="214"/>
      <c r="F13" s="214"/>
      <c r="G13" s="215" t="str">
        <f aca="false">IF(ISBLANK(Summary!F25),"",Summary!F25)</f>
        <v/>
      </c>
      <c r="H13" s="215"/>
      <c r="I13" s="215"/>
      <c r="J13" s="215"/>
      <c r="K13" s="215"/>
      <c r="L13" s="215"/>
      <c r="M13" s="215"/>
      <c r="N13" s="216"/>
      <c r="O13" s="217" t="n">
        <f aca="false">O98/O$101</f>
        <v>0</v>
      </c>
      <c r="P13" s="218" t="n">
        <f aca="false">N98*SINH(P86)/O$101</f>
        <v>0</v>
      </c>
    </row>
    <row r="14" customFormat="false" ht="12.8" hidden="false" customHeight="false" outlineLevel="0" collapsed="false">
      <c r="A14" s="213" t="n">
        <v>9</v>
      </c>
      <c r="B14" s="214" t="str">
        <f aca="false">IF(ISBLANK(Summary!C26),"",Summary!C26)</f>
        <v/>
      </c>
      <c r="C14" s="214"/>
      <c r="D14" s="214"/>
      <c r="E14" s="214"/>
      <c r="F14" s="214"/>
      <c r="G14" s="215" t="str">
        <f aca="false">IF(ISBLANK(Summary!F26),"",Summary!F26)</f>
        <v>for 9&amp;10 unprotect the input sheets and expand the </v>
      </c>
      <c r="H14" s="215"/>
      <c r="I14" s="215"/>
      <c r="J14" s="215"/>
      <c r="K14" s="215"/>
      <c r="L14" s="215"/>
      <c r="M14" s="215"/>
      <c r="N14" s="216"/>
      <c r="O14" s="217" t="n">
        <f aca="false">O99/O$101</f>
        <v>0</v>
      </c>
      <c r="P14" s="218" t="n">
        <f aca="false">N99*SINH(P87)/O$101</f>
        <v>0</v>
      </c>
    </row>
    <row r="15" customFormat="false" ht="12.8" hidden="false" customHeight="false" outlineLevel="0" collapsed="false">
      <c r="A15" s="219" t="n">
        <v>10</v>
      </c>
      <c r="B15" s="220" t="str">
        <f aca="false">IF(ISBLANK(Summary!C27),"",Summary!C27)</f>
        <v/>
      </c>
      <c r="C15" s="220"/>
      <c r="D15" s="220"/>
      <c r="E15" s="220"/>
      <c r="F15" s="220"/>
      <c r="G15" s="221" t="str">
        <f aca="false">IF(ISBLANK(Summary!F27),"",Summary!F27)</f>
        <v>question section ("+" in row 66)</v>
      </c>
      <c r="H15" s="221"/>
      <c r="I15" s="221"/>
      <c r="J15" s="221"/>
      <c r="K15" s="221"/>
      <c r="L15" s="221"/>
      <c r="M15" s="221"/>
      <c r="N15" s="222"/>
      <c r="O15" s="223" t="n">
        <f aca="false">O100/O$101</f>
        <v>0</v>
      </c>
      <c r="P15" s="224" t="n">
        <f aca="false">N100*SINH(P88)/O$101</f>
        <v>0</v>
      </c>
      <c r="Q15" s="73"/>
    </row>
    <row r="16" customFormat="false" ht="6" hidden="false" customHeight="true" outlineLevel="0" collapsed="false">
      <c r="A16" s="50"/>
      <c r="B16" s="225"/>
      <c r="C16" s="225"/>
      <c r="D16" s="225"/>
      <c r="E16" s="225"/>
      <c r="F16" s="225"/>
      <c r="G16" s="225"/>
      <c r="H16" s="225"/>
      <c r="I16" s="225"/>
      <c r="J16" s="225"/>
      <c r="K16" s="225"/>
      <c r="L16" s="225"/>
      <c r="M16" s="225"/>
      <c r="N16" s="225"/>
      <c r="O16" s="100"/>
      <c r="P16" s="255"/>
      <c r="Q16" s="73"/>
    </row>
    <row r="17" customFormat="false" ht="12.75" hidden="false" customHeight="true" outlineLevel="0" collapsed="false">
      <c r="A17" s="34"/>
      <c r="B17" s="226" t="s">
        <v>168</v>
      </c>
      <c r="C17" s="226"/>
      <c r="D17" s="226"/>
      <c r="E17" s="226"/>
      <c r="F17" s="46" t="n">
        <v>1</v>
      </c>
      <c r="G17" s="227"/>
      <c r="H17" s="227"/>
      <c r="I17" s="34"/>
      <c r="J17" s="44" t="s">
        <v>62</v>
      </c>
      <c r="K17" s="229" t="n">
        <f aca="false">Summary!K7</f>
        <v>0.1</v>
      </c>
      <c r="L17" s="61" t="s">
        <v>87</v>
      </c>
      <c r="M17" s="230" t="n">
        <f aca="false">(N101-K1)/((2.7699*K1-4.3513)-K1)</f>
        <v>-0</v>
      </c>
      <c r="N17" s="231"/>
      <c r="O17" s="232" t="n">
        <f aca="false">Summary!K5</f>
        <v>1</v>
      </c>
      <c r="P17" s="255"/>
    </row>
    <row r="18" s="234" customFormat="true" ht="12.75" hidden="false" customHeight="true" outlineLevel="0" collapsed="false">
      <c r="A18" s="32"/>
      <c r="B18" s="346" t="s">
        <v>118</v>
      </c>
      <c r="C18" s="100"/>
      <c r="D18" s="56"/>
      <c r="E18" s="235"/>
      <c r="F18" s="235" t="s">
        <v>119</v>
      </c>
      <c r="G18" s="236"/>
      <c r="H18" s="235" t="s">
        <v>10</v>
      </c>
      <c r="I18" s="100"/>
      <c r="J18" s="56"/>
      <c r="K18" s="32"/>
      <c r="L18" s="32"/>
      <c r="M18" s="61" t="s">
        <v>84</v>
      </c>
      <c r="N18" s="109"/>
      <c r="O18" s="232"/>
      <c r="P18" s="255"/>
      <c r="Q18" s="237"/>
    </row>
    <row r="19" customFormat="false" ht="12.75" hidden="false" customHeight="true" outlineLevel="0" collapsed="false">
      <c r="A19" s="238"/>
      <c r="B19" s="239"/>
      <c r="C19" s="240"/>
      <c r="D19" s="241"/>
      <c r="E19" s="241"/>
      <c r="F19" s="241"/>
      <c r="G19" s="241" t="s">
        <v>115</v>
      </c>
      <c r="H19" s="241"/>
      <c r="I19" s="242"/>
      <c r="J19" s="243"/>
      <c r="K19" s="244" t="s">
        <v>120</v>
      </c>
      <c r="L19" s="245" t="s">
        <v>121</v>
      </c>
      <c r="M19" s="34"/>
      <c r="N19" s="246"/>
      <c r="O19" s="232" t="s">
        <v>122</v>
      </c>
      <c r="P19" s="100"/>
      <c r="S19" s="59"/>
      <c r="T19" s="59"/>
      <c r="U19" s="59"/>
      <c r="V19" s="59"/>
    </row>
    <row r="20" customFormat="false" ht="12.75" hidden="false" customHeight="true" outlineLevel="0" collapsed="false">
      <c r="A20" s="247"/>
      <c r="B20" s="248" t="s">
        <v>123</v>
      </c>
      <c r="C20" s="249" t="s">
        <v>124</v>
      </c>
      <c r="D20" s="250" t="s">
        <v>122</v>
      </c>
      <c r="E20" s="250"/>
      <c r="F20" s="250"/>
      <c r="G20" s="251"/>
      <c r="H20" s="252" t="s">
        <v>125</v>
      </c>
      <c r="I20" s="252"/>
      <c r="J20" s="252"/>
      <c r="K20" s="253" t="s">
        <v>126</v>
      </c>
      <c r="L20" s="254" t="s">
        <v>127</v>
      </c>
      <c r="M20" s="34"/>
      <c r="N20" s="34"/>
      <c r="O20" s="232" t="s">
        <v>125</v>
      </c>
      <c r="P20" s="255"/>
      <c r="S20" s="59"/>
      <c r="T20" s="256"/>
      <c r="U20" s="257"/>
      <c r="V20" s="59"/>
    </row>
    <row r="21" s="270" customFormat="true" ht="12.75" hidden="false" customHeight="true" outlineLevel="0" collapsed="false">
      <c r="A21" s="258" t="n">
        <f aca="false">IF(AND(B21&lt;=$K$1,C21&lt;=$K$1),B21*10+C21,0)</f>
        <v>12</v>
      </c>
      <c r="B21" s="259" t="n">
        <v>1</v>
      </c>
      <c r="C21" s="260" t="n">
        <v>2</v>
      </c>
      <c r="D21" s="261" t="str">
        <f aca="false">VLOOKUP($B21,$A$6:$D$15,2)</f>
        <v>Crit-1</v>
      </c>
      <c r="E21" s="262"/>
      <c r="F21" s="262"/>
      <c r="G21" s="263"/>
      <c r="H21" s="264" t="str">
        <f aca="false">IF(B21&gt;0,VLOOKUP($C21,$A$6:$D$15,2),"")</f>
        <v>Crit-2</v>
      </c>
      <c r="I21" s="264"/>
      <c r="J21" s="264"/>
      <c r="K21" s="265"/>
      <c r="L21" s="266"/>
      <c r="M21" s="267" t="str">
        <f aca="false">IF(AND(P21&lt;&gt;0,L$66&gt;=($K$1*($K$1-1)/2)),RANK(P21,P$21:P$65),"")</f>
        <v/>
      </c>
      <c r="N21" s="268" t="str">
        <f aca="true">IF(M21&lt;4,OFFSET($B$123,$B21,$C21),"")</f>
        <v/>
      </c>
      <c r="O21" s="269" t="n">
        <f aca="false">IF(AND(L21&lt;&gt;"",K21&lt;&gt;""),L21^(IF(K21="a",1,-1)),1)</f>
        <v>1</v>
      </c>
      <c r="P21" s="269" t="n">
        <f aca="true">IF(AND($M$17&gt;=$K$17,$A21&gt;0),OFFSET($B$101,$B21,$C21),0)</f>
        <v>0</v>
      </c>
      <c r="S21" s="271"/>
      <c r="T21" s="272"/>
      <c r="U21" s="272"/>
      <c r="V21" s="271"/>
      <c r="W21" s="273"/>
      <c r="X21" s="273"/>
    </row>
    <row r="22" customFormat="false" ht="12.75" hidden="false" customHeight="true" outlineLevel="0" collapsed="false">
      <c r="A22" s="258" t="n">
        <f aca="false">IF(AND(B22&lt;=$K$1,C22&lt;=$K$1),B22*10+C22,0)</f>
        <v>0</v>
      </c>
      <c r="B22" s="274" t="n">
        <v>1</v>
      </c>
      <c r="C22" s="275" t="n">
        <v>3</v>
      </c>
      <c r="D22" s="261" t="str">
        <f aca="false">IF(OR(B22=B21,A22=0),"",VLOOKUP($B22,$A$6:$D$15,2))</f>
        <v/>
      </c>
      <c r="E22" s="262"/>
      <c r="F22" s="262"/>
      <c r="G22" s="263"/>
      <c r="H22" s="264" t="str">
        <f aca="false">IF(B22&gt;0,VLOOKUP($C22,$A$6:$D$15,2),"")</f>
        <v/>
      </c>
      <c r="I22" s="264"/>
      <c r="J22" s="264"/>
      <c r="K22" s="37"/>
      <c r="L22" s="276"/>
      <c r="M22" s="267" t="str">
        <f aca="false">IF(AND(P22&lt;&gt;0,L$66&gt;=($K$1*($K$1-1)/2)),RANK(P22,P$21:P$65),"")</f>
        <v/>
      </c>
      <c r="N22" s="268" t="str">
        <f aca="true">IF(M22&lt;4,OFFSET($B$123,$B22,$C22),"")</f>
        <v/>
      </c>
      <c r="O22" s="269" t="n">
        <f aca="false">IF(AND(L22&lt;&gt;"",K22&lt;&gt;""),L22^(IF(K22="a",1,-1)),1)</f>
        <v>1</v>
      </c>
      <c r="P22" s="269" t="n">
        <f aca="true">IF(AND($M$17&gt;=$K$17,$A22&gt;0),OFFSET($B$101,$B22,$C22),0)</f>
        <v>0</v>
      </c>
      <c r="S22" s="59"/>
      <c r="T22" s="277"/>
      <c r="U22" s="277"/>
      <c r="V22" s="59"/>
      <c r="W22" s="273"/>
      <c r="X22" s="139"/>
    </row>
    <row r="23" customFormat="false" ht="12.75" hidden="false" customHeight="true" outlineLevel="0" collapsed="false">
      <c r="A23" s="258" t="n">
        <f aca="false">IF(AND(B23&lt;=$K$1,C23&lt;=$K$1),B23*10+C23,0)</f>
        <v>0</v>
      </c>
      <c r="B23" s="274" t="n">
        <v>1</v>
      </c>
      <c r="C23" s="275" t="n">
        <v>4</v>
      </c>
      <c r="D23" s="261" t="str">
        <f aca="false">IF(OR(B23=B22,A23=0),"",VLOOKUP($B23,$A$6:$D$15,2))</f>
        <v/>
      </c>
      <c r="E23" s="262"/>
      <c r="F23" s="262"/>
      <c r="G23" s="263"/>
      <c r="H23" s="264" t="str">
        <f aca="false">IF(B23&gt;0,VLOOKUP($C23,$A$6:$D$15,2),"")</f>
        <v/>
      </c>
      <c r="I23" s="264"/>
      <c r="J23" s="264"/>
      <c r="K23" s="37"/>
      <c r="L23" s="276"/>
      <c r="M23" s="267" t="str">
        <f aca="false">IF(AND(P23&lt;&gt;0,L$66&gt;=($K$1*($K$1-1)/2)),RANK(P23,P$21:P$65),"")</f>
        <v/>
      </c>
      <c r="N23" s="268" t="str">
        <f aca="true">IF(M23&lt;4,OFFSET($B$123,$B23,$C23),"")</f>
        <v/>
      </c>
      <c r="O23" s="269" t="n">
        <f aca="false">IF(AND(L23&lt;&gt;"",K23&lt;&gt;""),L23^(IF(K23="a",1,-1)),1)</f>
        <v>1</v>
      </c>
      <c r="P23" s="269" t="n">
        <f aca="true">IF(AND($M$17&gt;=$K$17,$A23&gt;0),OFFSET($B$101,$B23,$C23),0)</f>
        <v>0</v>
      </c>
      <c r="S23" s="59"/>
      <c r="T23" s="277"/>
      <c r="U23" s="277"/>
      <c r="V23" s="59"/>
      <c r="W23" s="273"/>
      <c r="X23" s="139"/>
    </row>
    <row r="24" customFormat="false" ht="12.75" hidden="false" customHeight="true" outlineLevel="0" collapsed="false">
      <c r="A24" s="258" t="n">
        <f aca="false">IF(AND(B24&lt;=$K$1,C24&lt;=$K$1),B24*10+C24,0)</f>
        <v>0</v>
      </c>
      <c r="B24" s="274" t="n">
        <v>1</v>
      </c>
      <c r="C24" s="275" t="n">
        <v>5</v>
      </c>
      <c r="D24" s="261" t="str">
        <f aca="false">IF(OR(B24=B23,A24=0),"",VLOOKUP($B24,$A$6:$D$15,2))</f>
        <v/>
      </c>
      <c r="E24" s="262"/>
      <c r="F24" s="262"/>
      <c r="G24" s="263"/>
      <c r="H24" s="264" t="str">
        <f aca="false">IF(B24&gt;0,VLOOKUP($C24,$A$6:$D$15,2),"")</f>
        <v/>
      </c>
      <c r="I24" s="264"/>
      <c r="J24" s="264"/>
      <c r="K24" s="37"/>
      <c r="L24" s="276"/>
      <c r="M24" s="267" t="str">
        <f aca="false">IF(AND(P24&lt;&gt;0,L$66&gt;=($K$1*($K$1-1)/2)),RANK(P24,P$21:P$65),"")</f>
        <v/>
      </c>
      <c r="N24" s="268" t="str">
        <f aca="true">IF(M24&lt;4,OFFSET($B$123,$B24,$C24),"")</f>
        <v/>
      </c>
      <c r="O24" s="269" t="n">
        <f aca="false">IF(AND(L24&lt;&gt;"",K24&lt;&gt;""),L24^(IF(K24="a",1,-1)),1)</f>
        <v>1</v>
      </c>
      <c r="P24" s="269" t="n">
        <f aca="true">IF(AND($M$17&gt;=$K$17,$A24&gt;0),OFFSET($B$101,$B24,$C24),0)</f>
        <v>0</v>
      </c>
      <c r="S24" s="59"/>
      <c r="T24" s="277"/>
      <c r="U24" s="277"/>
      <c r="V24" s="59"/>
      <c r="W24" s="273"/>
      <c r="X24" s="139"/>
    </row>
    <row r="25" customFormat="false" ht="12.75" hidden="false" customHeight="true" outlineLevel="0" collapsed="false">
      <c r="A25" s="258" t="n">
        <f aca="false">IF(AND(B25&lt;=$K$1,C25&lt;=$K$1),B25*10+C25,0)</f>
        <v>0</v>
      </c>
      <c r="B25" s="274" t="n">
        <v>1</v>
      </c>
      <c r="C25" s="275" t="n">
        <v>6</v>
      </c>
      <c r="D25" s="261" t="str">
        <f aca="false">IF(OR(B25=B24,A25=0),"",VLOOKUP($B25,$A$6:$D$15,2))</f>
        <v/>
      </c>
      <c r="E25" s="262"/>
      <c r="F25" s="262"/>
      <c r="G25" s="263"/>
      <c r="H25" s="264" t="str">
        <f aca="false">IF(B25&gt;0,VLOOKUP($C25,$A$6:$D$15,2),"")</f>
        <v/>
      </c>
      <c r="I25" s="264"/>
      <c r="J25" s="264"/>
      <c r="K25" s="37"/>
      <c r="L25" s="276"/>
      <c r="M25" s="267" t="str">
        <f aca="false">IF(AND(P25&lt;&gt;0,L$66&gt;=($K$1*($K$1-1)/2)),RANK(P25,P$21:P$65),"")</f>
        <v/>
      </c>
      <c r="N25" s="268" t="str">
        <f aca="true">IF(M25&lt;4,OFFSET($B$123,$B25,$C25),"")</f>
        <v/>
      </c>
      <c r="O25" s="269" t="n">
        <f aca="false">IF(AND(L25&lt;&gt;"",K25&lt;&gt;""),L25^(IF(K25="a",1,-1)),1)</f>
        <v>1</v>
      </c>
      <c r="P25" s="269" t="n">
        <f aca="true">IF(AND($M$17&gt;=$K$17,$A25&gt;0),OFFSET($B$101,$B25,$C25),0)</f>
        <v>0</v>
      </c>
      <c r="S25" s="59"/>
      <c r="T25" s="277"/>
      <c r="U25" s="277"/>
      <c r="V25" s="59"/>
      <c r="W25" s="273"/>
      <c r="X25" s="139"/>
    </row>
    <row r="26" customFormat="false" ht="12.75" hidden="false" customHeight="true" outlineLevel="0" collapsed="false">
      <c r="A26" s="258" t="n">
        <f aca="false">IF(AND(B26&lt;=$K$1,C26&lt;=$K$1),B26*10+C26,0)</f>
        <v>0</v>
      </c>
      <c r="B26" s="274" t="n">
        <v>1</v>
      </c>
      <c r="C26" s="275" t="n">
        <v>7</v>
      </c>
      <c r="D26" s="261" t="str">
        <f aca="false">IF(OR(B26=B25,A26=0),"",VLOOKUP($B26,$A$6:$D$15,2))</f>
        <v/>
      </c>
      <c r="E26" s="262"/>
      <c r="F26" s="262"/>
      <c r="G26" s="263"/>
      <c r="H26" s="264" t="str">
        <f aca="false">IF(B26&gt;0,VLOOKUP($C26,$A$6:$D$15,2),"")</f>
        <v/>
      </c>
      <c r="I26" s="264"/>
      <c r="J26" s="264"/>
      <c r="K26" s="37"/>
      <c r="L26" s="276"/>
      <c r="M26" s="267" t="str">
        <f aca="false">IF(AND(P26&lt;&gt;0,L$66&gt;=($K$1*($K$1-1)/2)),RANK(P26,P$21:P$65),"")</f>
        <v/>
      </c>
      <c r="N26" s="268" t="str">
        <f aca="true">IF(M26&lt;4,OFFSET($B$123,$B26,$C26),"")</f>
        <v/>
      </c>
      <c r="O26" s="269" t="n">
        <f aca="false">IF(AND(L26&lt;&gt;"",K26&lt;&gt;""),L26^(IF(K26="a",1,-1)),1)</f>
        <v>1</v>
      </c>
      <c r="P26" s="269" t="n">
        <f aca="true">IF(AND($M$17&gt;=$K$17,$A26&gt;0),OFFSET($B$101,$B26,$C26),0)</f>
        <v>0</v>
      </c>
      <c r="S26" s="59"/>
      <c r="T26" s="277"/>
      <c r="U26" s="277"/>
      <c r="V26" s="59"/>
      <c r="W26" s="273"/>
      <c r="X26" s="139"/>
    </row>
    <row r="27" customFormat="false" ht="12.75" hidden="false" customHeight="true" outlineLevel="0" collapsed="false">
      <c r="A27" s="258" t="n">
        <f aca="false">IF(AND(B27&lt;=$K$1,C27&lt;=$K$1),B27*10+C27,0)</f>
        <v>0</v>
      </c>
      <c r="B27" s="278" t="n">
        <v>1</v>
      </c>
      <c r="C27" s="279" t="n">
        <v>8</v>
      </c>
      <c r="D27" s="280" t="str">
        <f aca="false">IF(OR(B27=B26,A27=0),"",VLOOKUP($B27,$A$6:$D$15,2))</f>
        <v/>
      </c>
      <c r="E27" s="281"/>
      <c r="F27" s="281"/>
      <c r="G27" s="282"/>
      <c r="H27" s="283" t="str">
        <f aca="false">IF(B27&gt;0,VLOOKUP($C27,$A$6:$D$15,2),"")</f>
        <v/>
      </c>
      <c r="I27" s="283"/>
      <c r="J27" s="283"/>
      <c r="K27" s="37"/>
      <c r="L27" s="276"/>
      <c r="M27" s="267" t="str">
        <f aca="false">IF(AND(P27&lt;&gt;0,L$66&gt;=($K$1*($K$1-1)/2)),RANK(P27,P$21:P$65),"")</f>
        <v/>
      </c>
      <c r="N27" s="268" t="str">
        <f aca="true">IF(M27&lt;4,OFFSET($B$123,$B27,$C27),"")</f>
        <v/>
      </c>
      <c r="O27" s="269" t="n">
        <f aca="false">IF(AND(L27&lt;&gt;"",K27&lt;&gt;""),L27^(IF(K27="a",1,-1)),1)</f>
        <v>1</v>
      </c>
      <c r="P27" s="269" t="n">
        <f aca="true">IF(AND($M$17&gt;=$K$17,$A27&gt;0),OFFSET($B$101,$B27,$C27),0)</f>
        <v>0</v>
      </c>
      <c r="S27" s="59"/>
      <c r="T27" s="277"/>
      <c r="U27" s="277"/>
      <c r="V27" s="59"/>
      <c r="W27" s="273"/>
      <c r="X27" s="139"/>
    </row>
    <row r="28" customFormat="false" ht="12.75" hidden="false" customHeight="true" outlineLevel="0" collapsed="false">
      <c r="A28" s="258" t="n">
        <f aca="false">IF(AND(B28&lt;=$K$1,C28&lt;=$K$1),B28*10+C28,0)</f>
        <v>0</v>
      </c>
      <c r="B28" s="274" t="n">
        <v>2</v>
      </c>
      <c r="C28" s="275" t="n">
        <v>3</v>
      </c>
      <c r="D28" s="261" t="str">
        <f aca="false">IF(OR(B28=B27,A28=0),"",VLOOKUP($B28,$A$6:$D$15,2))</f>
        <v/>
      </c>
      <c r="E28" s="262"/>
      <c r="F28" s="262"/>
      <c r="G28" s="263"/>
      <c r="H28" s="264" t="str">
        <f aca="false">IF(B28&gt;0,VLOOKUP($C28,$A$6:$D$15,2),"")</f>
        <v/>
      </c>
      <c r="I28" s="264"/>
      <c r="J28" s="264"/>
      <c r="K28" s="37"/>
      <c r="L28" s="276"/>
      <c r="M28" s="267" t="str">
        <f aca="false">IF(AND(P28&lt;&gt;0,L$66&gt;=($K$1*($K$1-1)/2)),RANK(P28,P$21:P$65),"")</f>
        <v/>
      </c>
      <c r="N28" s="268" t="str">
        <f aca="true">IF(M28&lt;4,OFFSET($B$123,$B28,$C28),"")</f>
        <v/>
      </c>
      <c r="O28" s="269" t="n">
        <f aca="false">IF(AND(L28&lt;&gt;"",K28&lt;&gt;""),L28^(IF(K28="a",1,-1)),1)</f>
        <v>1</v>
      </c>
      <c r="P28" s="269" t="n">
        <f aca="true">IF(AND($M$17&gt;=$K$17,$A28&gt;0),OFFSET($B$101,$B28,$C28),0)</f>
        <v>0</v>
      </c>
      <c r="S28" s="59"/>
      <c r="T28" s="277"/>
      <c r="U28" s="277"/>
      <c r="V28" s="59"/>
      <c r="W28" s="273"/>
      <c r="X28" s="139"/>
    </row>
    <row r="29" customFormat="false" ht="12.75" hidden="false" customHeight="true" outlineLevel="0" collapsed="false">
      <c r="A29" s="258" t="n">
        <f aca="false">IF(AND(B29&lt;=$K$1,C29&lt;=$K$1),B29*10+C29,0)</f>
        <v>0</v>
      </c>
      <c r="B29" s="274" t="n">
        <v>2</v>
      </c>
      <c r="C29" s="275" t="n">
        <v>4</v>
      </c>
      <c r="D29" s="261" t="str">
        <f aca="false">IF(OR(B29=B28,A29=0),"",VLOOKUP($B29,$A$6:$D$15,2))</f>
        <v/>
      </c>
      <c r="E29" s="262"/>
      <c r="F29" s="262"/>
      <c r="G29" s="263"/>
      <c r="H29" s="264" t="str">
        <f aca="false">IF(B29&gt;0,VLOOKUP($C29,$A$6:$D$15,2),"")</f>
        <v/>
      </c>
      <c r="I29" s="264"/>
      <c r="J29" s="264"/>
      <c r="K29" s="37"/>
      <c r="L29" s="276"/>
      <c r="M29" s="267" t="str">
        <f aca="false">IF(AND(P29&lt;&gt;0,L$66&gt;=($K$1*($K$1-1)/2)),RANK(P29,P$21:P$65),"")</f>
        <v/>
      </c>
      <c r="N29" s="268" t="str">
        <f aca="true">IF(M29&lt;4,OFFSET($B$123,$B29,$C29),"")</f>
        <v/>
      </c>
      <c r="O29" s="269" t="n">
        <f aca="false">IF(AND(L29&lt;&gt;"",K29&lt;&gt;""),L29^(IF(K29="a",1,-1)),1)</f>
        <v>1</v>
      </c>
      <c r="P29" s="269" t="n">
        <f aca="true">IF(AND($M$17&gt;=$K$17,$A29&gt;0),OFFSET($B$101,$B29,$C29),0)</f>
        <v>0</v>
      </c>
      <c r="S29" s="59"/>
      <c r="T29" s="277"/>
      <c r="U29" s="277"/>
      <c r="V29" s="59"/>
      <c r="W29" s="273"/>
      <c r="X29" s="139"/>
    </row>
    <row r="30" customFormat="false" ht="12.75" hidden="false" customHeight="true" outlineLevel="0" collapsed="false">
      <c r="A30" s="258" t="n">
        <f aca="false">IF(AND(B30&lt;=$K$1,C30&lt;=$K$1),B30*10+C30,0)</f>
        <v>0</v>
      </c>
      <c r="B30" s="274" t="n">
        <v>2</v>
      </c>
      <c r="C30" s="275" t="n">
        <v>5</v>
      </c>
      <c r="D30" s="261" t="str">
        <f aca="false">IF(OR(B30=B29,A30=0),"",VLOOKUP($B30,$A$6:$D$15,2))</f>
        <v/>
      </c>
      <c r="E30" s="262"/>
      <c r="F30" s="262"/>
      <c r="G30" s="263"/>
      <c r="H30" s="264" t="str">
        <f aca="false">IF(B30&gt;0,VLOOKUP($C30,$A$6:$D$15,2),"")</f>
        <v/>
      </c>
      <c r="I30" s="264"/>
      <c r="J30" s="264"/>
      <c r="K30" s="37"/>
      <c r="L30" s="276"/>
      <c r="M30" s="267" t="str">
        <f aca="false">IF(AND(P30&lt;&gt;0,L$66&gt;=($K$1*($K$1-1)/2)),RANK(P30,P$21:P$65),"")</f>
        <v/>
      </c>
      <c r="N30" s="268" t="str">
        <f aca="true">IF(M30&lt;4,OFFSET($B$123,$B30,$C30),"")</f>
        <v/>
      </c>
      <c r="O30" s="269" t="n">
        <f aca="false">IF(AND(L30&lt;&gt;"",K30&lt;&gt;""),L30^(IF(K30="a",1,-1)),1)</f>
        <v>1</v>
      </c>
      <c r="P30" s="269" t="n">
        <f aca="true">IF(AND($M$17&gt;=$K$17,$A30&gt;0),OFFSET($B$101,$B30,$C30),0)</f>
        <v>0</v>
      </c>
      <c r="S30" s="59"/>
      <c r="T30" s="277"/>
      <c r="U30" s="277"/>
      <c r="V30" s="59"/>
      <c r="W30" s="273"/>
      <c r="X30" s="139"/>
    </row>
    <row r="31" customFormat="false" ht="12.75" hidden="false" customHeight="true" outlineLevel="0" collapsed="false">
      <c r="A31" s="258" t="n">
        <f aca="false">IF(AND(B31&lt;=$K$1,C31&lt;=$K$1),B31*10+C31,0)</f>
        <v>0</v>
      </c>
      <c r="B31" s="274" t="n">
        <v>2</v>
      </c>
      <c r="C31" s="275" t="n">
        <v>6</v>
      </c>
      <c r="D31" s="261" t="str">
        <f aca="false">IF(OR(B31=B30,A31=0),"",VLOOKUP($B31,$A$6:$D$15,2))</f>
        <v/>
      </c>
      <c r="E31" s="262"/>
      <c r="F31" s="262"/>
      <c r="G31" s="263"/>
      <c r="H31" s="264" t="str">
        <f aca="false">IF(B31&gt;0,VLOOKUP($C31,$A$6:$D$15,2),"")</f>
        <v/>
      </c>
      <c r="I31" s="264"/>
      <c r="J31" s="264"/>
      <c r="K31" s="37"/>
      <c r="L31" s="276"/>
      <c r="M31" s="267" t="str">
        <f aca="false">IF(AND(P31&lt;&gt;0,L$66&gt;=($K$1*($K$1-1)/2)),RANK(P31,P$21:P$65),"")</f>
        <v/>
      </c>
      <c r="N31" s="268" t="str">
        <f aca="true">IF(M31&lt;4,OFFSET($B$123,$B31,$C31),"")</f>
        <v/>
      </c>
      <c r="O31" s="269" t="n">
        <f aca="false">IF(AND(L31&lt;&gt;"",K31&lt;&gt;""),L31^(IF(K31="a",1,-1)),1)</f>
        <v>1</v>
      </c>
      <c r="P31" s="269" t="n">
        <f aca="true">IF(AND($M$17&gt;=$K$17,$A31&gt;0),OFFSET($B$101,$B31,$C31),0)</f>
        <v>0</v>
      </c>
      <c r="S31" s="59"/>
      <c r="T31" s="277"/>
      <c r="U31" s="277"/>
      <c r="V31" s="59"/>
      <c r="W31" s="273"/>
      <c r="X31" s="139"/>
    </row>
    <row r="32" customFormat="false" ht="12.75" hidden="false" customHeight="true" outlineLevel="0" collapsed="false">
      <c r="A32" s="258" t="n">
        <f aca="false">IF(AND(B32&lt;=$K$1,C32&lt;=$K$1),B32*10+C32,0)</f>
        <v>0</v>
      </c>
      <c r="B32" s="274" t="n">
        <v>2</v>
      </c>
      <c r="C32" s="275" t="n">
        <v>7</v>
      </c>
      <c r="D32" s="261" t="str">
        <f aca="false">IF(OR(B32=B31,A32=0),"",VLOOKUP($B32,$A$6:$D$15,2))</f>
        <v/>
      </c>
      <c r="E32" s="262"/>
      <c r="F32" s="262"/>
      <c r="G32" s="263"/>
      <c r="H32" s="264" t="str">
        <f aca="false">IF(B32&gt;0,VLOOKUP($C32,$A$6:$D$15,2),"")</f>
        <v/>
      </c>
      <c r="I32" s="264"/>
      <c r="J32" s="264"/>
      <c r="K32" s="37"/>
      <c r="L32" s="276"/>
      <c r="M32" s="267" t="str">
        <f aca="false">IF(AND(P32&lt;&gt;0,L$66&gt;=($K$1*($K$1-1)/2)),RANK(P32,P$21:P$65),"")</f>
        <v/>
      </c>
      <c r="N32" s="268" t="str">
        <f aca="true">IF(M32&lt;4,OFFSET($B$123,$B32,$C32),"")</f>
        <v/>
      </c>
      <c r="O32" s="269" t="n">
        <f aca="false">IF(AND(L32&lt;&gt;"",K32&lt;&gt;""),L32^(IF(K32="a",1,-1)),1)</f>
        <v>1</v>
      </c>
      <c r="P32" s="269" t="n">
        <f aca="true">IF(AND($M$17&gt;=$K$17,$A32&gt;0),OFFSET($B$101,$B32,$C32),0)</f>
        <v>0</v>
      </c>
      <c r="S32" s="59"/>
      <c r="T32" s="277"/>
      <c r="U32" s="277"/>
      <c r="V32" s="59"/>
      <c r="W32" s="273"/>
      <c r="X32" s="139"/>
    </row>
    <row r="33" customFormat="false" ht="12.75" hidden="false" customHeight="true" outlineLevel="0" collapsed="false">
      <c r="A33" s="258" t="n">
        <f aca="false">IF(AND(B33&lt;=$K$1,C33&lt;=$K$1),B33*10+C33,0)</f>
        <v>0</v>
      </c>
      <c r="B33" s="278" t="n">
        <v>2</v>
      </c>
      <c r="C33" s="279" t="n">
        <v>8</v>
      </c>
      <c r="D33" s="280" t="str">
        <f aca="false">IF(OR(B33=B32,A33=0),"",VLOOKUP($B33,$A$6:$D$15,2))</f>
        <v/>
      </c>
      <c r="E33" s="281"/>
      <c r="F33" s="281"/>
      <c r="G33" s="282"/>
      <c r="H33" s="283" t="str">
        <f aca="false">IF(B33&gt;0,VLOOKUP($C33,$A$6:$D$15,2),"")</f>
        <v/>
      </c>
      <c r="I33" s="283"/>
      <c r="J33" s="283"/>
      <c r="K33" s="37"/>
      <c r="L33" s="276"/>
      <c r="M33" s="267" t="str">
        <f aca="false">IF(AND(P33&lt;&gt;0,L$66&gt;=($K$1*($K$1-1)/2)),RANK(P33,P$21:P$65),"")</f>
        <v/>
      </c>
      <c r="N33" s="268" t="str">
        <f aca="true">IF(M33&lt;4,OFFSET($B$123,$B33,$C33),"")</f>
        <v/>
      </c>
      <c r="O33" s="269" t="n">
        <f aca="false">IF(AND(L33&lt;&gt;"",K33&lt;&gt;""),L33^(IF(K33="a",1,-1)),1)</f>
        <v>1</v>
      </c>
      <c r="P33" s="269" t="n">
        <f aca="true">IF(AND($M$17&gt;=$K$17,$A33&gt;0),OFFSET($B$101,$B33,$C33),0)</f>
        <v>0</v>
      </c>
      <c r="S33" s="59"/>
      <c r="T33" s="277"/>
      <c r="U33" s="277"/>
      <c r="V33" s="59"/>
      <c r="W33" s="273"/>
      <c r="X33" s="139"/>
    </row>
    <row r="34" customFormat="false" ht="12.75" hidden="false" customHeight="true" outlineLevel="0" collapsed="false">
      <c r="A34" s="258" t="n">
        <f aca="false">IF(AND(B34&lt;=$K$1,C34&lt;=$K$1),B34*10+C34,0)</f>
        <v>0</v>
      </c>
      <c r="B34" s="274" t="n">
        <v>3</v>
      </c>
      <c r="C34" s="275" t="n">
        <v>4</v>
      </c>
      <c r="D34" s="261" t="str">
        <f aca="false">IF(OR(B34=B33,A34=0),"",VLOOKUP($B34,$A$6:$D$15,2))</f>
        <v/>
      </c>
      <c r="E34" s="262"/>
      <c r="F34" s="262"/>
      <c r="G34" s="263"/>
      <c r="H34" s="264" t="str">
        <f aca="false">IF(B34&gt;0,VLOOKUP($C34,$A$6:$D$15,2),"")</f>
        <v/>
      </c>
      <c r="I34" s="264"/>
      <c r="J34" s="264"/>
      <c r="K34" s="37"/>
      <c r="L34" s="276"/>
      <c r="M34" s="267" t="str">
        <f aca="false">IF(AND(P34&lt;&gt;0,L$66&gt;=($K$1*($K$1-1)/2)),RANK(P34,P$21:P$65),"")</f>
        <v/>
      </c>
      <c r="N34" s="268" t="str">
        <f aca="true">IF(M34&lt;4,OFFSET($B$123,$B34,$C34),"")</f>
        <v/>
      </c>
      <c r="O34" s="269" t="n">
        <f aca="false">IF(AND(L34&lt;&gt;"",K34&lt;&gt;""),L34^(IF(K34="a",1,-1)),1)</f>
        <v>1</v>
      </c>
      <c r="P34" s="269" t="n">
        <f aca="true">IF(AND($M$17&gt;=$K$17,$A34&gt;0),OFFSET($B$101,$B34,$C34),0)</f>
        <v>0</v>
      </c>
      <c r="S34" s="59"/>
      <c r="T34" s="277"/>
      <c r="U34" s="277"/>
      <c r="V34" s="59"/>
      <c r="W34" s="273"/>
      <c r="X34" s="139"/>
    </row>
    <row r="35" customFormat="false" ht="12.75" hidden="false" customHeight="true" outlineLevel="0" collapsed="false">
      <c r="A35" s="258" t="n">
        <f aca="false">IF(AND(B35&lt;=$K$1,C35&lt;=$K$1),B35*10+C35,0)</f>
        <v>0</v>
      </c>
      <c r="B35" s="274" t="n">
        <v>3</v>
      </c>
      <c r="C35" s="275" t="n">
        <v>5</v>
      </c>
      <c r="D35" s="261" t="str">
        <f aca="false">IF(OR(B35=B34,A35=0),"",VLOOKUP($B35,$A$6:$D$15,2))</f>
        <v/>
      </c>
      <c r="E35" s="262"/>
      <c r="F35" s="262"/>
      <c r="G35" s="263"/>
      <c r="H35" s="264" t="str">
        <f aca="false">IF(B35&gt;0,VLOOKUP($C35,$A$6:$D$15,2),"")</f>
        <v/>
      </c>
      <c r="I35" s="264"/>
      <c r="J35" s="264"/>
      <c r="K35" s="37"/>
      <c r="L35" s="276"/>
      <c r="M35" s="267" t="str">
        <f aca="false">IF(AND(P35&lt;&gt;0,L$66&gt;=($K$1*($K$1-1)/2)),RANK(P35,P$21:P$65),"")</f>
        <v/>
      </c>
      <c r="N35" s="268" t="str">
        <f aca="true">IF(M35&lt;4,OFFSET($B$123,$B35,$C35),"")</f>
        <v/>
      </c>
      <c r="O35" s="269" t="n">
        <f aca="false">IF(AND(L35&lt;&gt;"",K35&lt;&gt;""),L35^(IF(K35="a",1,-1)),1)</f>
        <v>1</v>
      </c>
      <c r="P35" s="269" t="n">
        <f aca="true">IF(AND($M$17&gt;=$K$17,$A35&gt;0),OFFSET($B$101,$B35,$C35),0)</f>
        <v>0</v>
      </c>
      <c r="S35" s="59"/>
      <c r="T35" s="277"/>
      <c r="U35" s="277"/>
      <c r="V35" s="59"/>
      <c r="W35" s="273"/>
      <c r="X35" s="139"/>
    </row>
    <row r="36" customFormat="false" ht="12.75" hidden="false" customHeight="true" outlineLevel="0" collapsed="false">
      <c r="A36" s="258" t="n">
        <f aca="false">IF(AND(B36&lt;=$K$1,C36&lt;=$K$1),B36*10+C36,0)</f>
        <v>0</v>
      </c>
      <c r="B36" s="274" t="n">
        <v>3</v>
      </c>
      <c r="C36" s="275" t="n">
        <v>6</v>
      </c>
      <c r="D36" s="261" t="str">
        <f aca="false">IF(OR(B36=B35,A36=0),"",VLOOKUP($B36,$A$6:$D$15,2))</f>
        <v/>
      </c>
      <c r="E36" s="262"/>
      <c r="F36" s="262"/>
      <c r="G36" s="263"/>
      <c r="H36" s="264" t="str">
        <f aca="false">IF(B36&gt;0,VLOOKUP($C36,$A$6:$D$15,2),"")</f>
        <v/>
      </c>
      <c r="I36" s="264"/>
      <c r="J36" s="264"/>
      <c r="K36" s="37"/>
      <c r="L36" s="276"/>
      <c r="M36" s="267" t="str">
        <f aca="false">IF(AND(P36&lt;&gt;0,L$66&gt;=($K$1*($K$1-1)/2)),RANK(P36,P$21:P$65),"")</f>
        <v/>
      </c>
      <c r="N36" s="268" t="str">
        <f aca="true">IF(M36&lt;4,OFFSET($B$123,$B36,$C36),"")</f>
        <v/>
      </c>
      <c r="O36" s="269" t="n">
        <f aca="false">IF(AND(L36&lt;&gt;"",K36&lt;&gt;""),L36^(IF(K36="a",1,-1)),1)</f>
        <v>1</v>
      </c>
      <c r="P36" s="269" t="n">
        <f aca="true">IF(AND($M$17&gt;=$K$17,$A36&gt;0),OFFSET($B$101,$B36,$C36),0)</f>
        <v>0</v>
      </c>
      <c r="S36" s="59"/>
      <c r="T36" s="277"/>
      <c r="U36" s="277"/>
      <c r="V36" s="59"/>
      <c r="W36" s="273"/>
      <c r="X36" s="139"/>
    </row>
    <row r="37" customFormat="false" ht="12.75" hidden="false" customHeight="true" outlineLevel="0" collapsed="false">
      <c r="A37" s="258" t="n">
        <f aca="false">IF(AND(B37&lt;=$K$1,C37&lt;=$K$1),B37*10+C37,0)</f>
        <v>0</v>
      </c>
      <c r="B37" s="274" t="n">
        <v>3</v>
      </c>
      <c r="C37" s="275" t="n">
        <v>7</v>
      </c>
      <c r="D37" s="261" t="str">
        <f aca="false">IF(OR(B37=B36,A37=0),"",VLOOKUP($B37,$A$6:$D$15,2))</f>
        <v/>
      </c>
      <c r="E37" s="262"/>
      <c r="F37" s="262"/>
      <c r="G37" s="263"/>
      <c r="H37" s="264" t="str">
        <f aca="false">IF(B37&gt;0,VLOOKUP($C37,$A$6:$D$15,2),"")</f>
        <v/>
      </c>
      <c r="I37" s="264"/>
      <c r="J37" s="264"/>
      <c r="K37" s="37"/>
      <c r="L37" s="276"/>
      <c r="M37" s="267" t="str">
        <f aca="false">IF(AND(P37&lt;&gt;0,L$66&gt;=($K$1*($K$1-1)/2)),RANK(P37,P$21:P$65),"")</f>
        <v/>
      </c>
      <c r="N37" s="268" t="str">
        <f aca="true">IF(M37&lt;4,OFFSET($B$123,$B37,$C37),"")</f>
        <v/>
      </c>
      <c r="O37" s="269" t="n">
        <f aca="false">IF(AND(L37&lt;&gt;"",K37&lt;&gt;""),L37^(IF(K37="a",1,-1)),1)</f>
        <v>1</v>
      </c>
      <c r="P37" s="269" t="n">
        <f aca="true">IF(AND($M$17&gt;=$K$17,$A37&gt;0),OFFSET($B$101,$B37,$C37),0)</f>
        <v>0</v>
      </c>
      <c r="S37" s="59"/>
      <c r="T37" s="277"/>
      <c r="U37" s="277"/>
      <c r="V37" s="59"/>
      <c r="W37" s="273"/>
      <c r="X37" s="139"/>
    </row>
    <row r="38" customFormat="false" ht="12.75" hidden="false" customHeight="true" outlineLevel="0" collapsed="false">
      <c r="A38" s="258" t="n">
        <f aca="false">IF(AND(B38&lt;=$K$1,C38&lt;=$K$1),B38*10+C38,0)</f>
        <v>0</v>
      </c>
      <c r="B38" s="278" t="n">
        <v>3</v>
      </c>
      <c r="C38" s="279" t="n">
        <v>8</v>
      </c>
      <c r="D38" s="280" t="str">
        <f aca="false">IF(OR(B38=B37,A38=0),"",VLOOKUP($B38,$A$6:$D$15,2))</f>
        <v/>
      </c>
      <c r="E38" s="281"/>
      <c r="F38" s="281"/>
      <c r="G38" s="282"/>
      <c r="H38" s="283" t="str">
        <f aca="false">IF(B38&gt;0,VLOOKUP($C38,$A$6:$D$15,2),"")</f>
        <v/>
      </c>
      <c r="I38" s="283"/>
      <c r="J38" s="283"/>
      <c r="K38" s="37"/>
      <c r="L38" s="276"/>
      <c r="M38" s="267" t="str">
        <f aca="false">IF(AND(P38&lt;&gt;0,L$66&gt;=($K$1*($K$1-1)/2)),RANK(P38,P$21:P$65),"")</f>
        <v/>
      </c>
      <c r="N38" s="268" t="str">
        <f aca="true">IF(M38&lt;4,OFFSET($B$123,$B38,$C38),"")</f>
        <v/>
      </c>
      <c r="O38" s="269" t="n">
        <f aca="false">IF(AND(L38&lt;&gt;"",K38&lt;&gt;""),L38^(IF(K38="a",1,-1)),1)</f>
        <v>1</v>
      </c>
      <c r="P38" s="269" t="n">
        <f aca="true">IF(AND($M$17&gt;=$K$17,$A38&gt;0),OFFSET($B$101,$B38,$C38),0)</f>
        <v>0</v>
      </c>
      <c r="S38" s="59"/>
      <c r="T38" s="277"/>
      <c r="U38" s="277"/>
      <c r="V38" s="59"/>
      <c r="W38" s="273"/>
      <c r="X38" s="139"/>
    </row>
    <row r="39" customFormat="false" ht="12.75" hidden="false" customHeight="true" outlineLevel="0" collapsed="false">
      <c r="A39" s="258" t="n">
        <f aca="false">IF(AND(B39&lt;=$K$1,C39&lt;=$K$1),B39*10+C39,0)</f>
        <v>0</v>
      </c>
      <c r="B39" s="274" t="n">
        <v>4</v>
      </c>
      <c r="C39" s="275" t="n">
        <v>5</v>
      </c>
      <c r="D39" s="261" t="str">
        <f aca="false">IF(OR(B39=B38,A39=0),"",VLOOKUP($B39,$A$6:$D$15,2))</f>
        <v/>
      </c>
      <c r="E39" s="262"/>
      <c r="F39" s="262"/>
      <c r="G39" s="263"/>
      <c r="H39" s="264" t="str">
        <f aca="false">IF(B39&gt;0,VLOOKUP($C39,$A$6:$D$15,2),"")</f>
        <v/>
      </c>
      <c r="I39" s="264"/>
      <c r="J39" s="264"/>
      <c r="K39" s="37"/>
      <c r="L39" s="276"/>
      <c r="M39" s="267" t="str">
        <f aca="false">IF(AND(P39&lt;&gt;0,L$66&gt;=($K$1*($K$1-1)/2)),RANK(P39,P$21:P$65),"")</f>
        <v/>
      </c>
      <c r="N39" s="268" t="str">
        <f aca="true">IF(M39&lt;4,OFFSET($B$123,$B39,$C39),"")</f>
        <v/>
      </c>
      <c r="O39" s="269" t="n">
        <f aca="false">IF(AND(L39&lt;&gt;"",K39&lt;&gt;""),L39^(IF(K39="a",1,-1)),1)</f>
        <v>1</v>
      </c>
      <c r="P39" s="269" t="n">
        <f aca="true">IF(AND($M$17&gt;=$K$17,$A39&gt;0),OFFSET($B$101,$B39,$C39),0)</f>
        <v>0</v>
      </c>
      <c r="S39" s="59"/>
      <c r="T39" s="277"/>
      <c r="U39" s="277"/>
      <c r="V39" s="59"/>
      <c r="W39" s="273"/>
      <c r="X39" s="139"/>
    </row>
    <row r="40" customFormat="false" ht="12.75" hidden="false" customHeight="true" outlineLevel="0" collapsed="false">
      <c r="A40" s="258" t="n">
        <f aca="false">IF(AND(B40&lt;=$K$1,C40&lt;=$K$1),B40*10+C40,0)</f>
        <v>0</v>
      </c>
      <c r="B40" s="274" t="n">
        <v>4</v>
      </c>
      <c r="C40" s="275" t="n">
        <v>6</v>
      </c>
      <c r="D40" s="261" t="str">
        <f aca="false">IF(OR(B40=B39,A40=0),"",VLOOKUP($B40,$A$6:$D$15,2))</f>
        <v/>
      </c>
      <c r="E40" s="262"/>
      <c r="F40" s="262"/>
      <c r="G40" s="263"/>
      <c r="H40" s="264" t="str">
        <f aca="false">IF(B40&gt;0,VLOOKUP($C40,$A$6:$D$15,2),"")</f>
        <v/>
      </c>
      <c r="I40" s="264"/>
      <c r="J40" s="264"/>
      <c r="K40" s="37"/>
      <c r="L40" s="284"/>
      <c r="M40" s="267" t="str">
        <f aca="false">IF(AND(P40&lt;&gt;0,L$66&gt;=($K$1*($K$1-1)/2)),RANK(P40,P$21:P$65),"")</f>
        <v/>
      </c>
      <c r="N40" s="268" t="str">
        <f aca="true">IF(M40&lt;4,OFFSET($B$123,$B40,$C40),"")</f>
        <v/>
      </c>
      <c r="O40" s="269" t="n">
        <f aca="false">IF(AND(L40&lt;&gt;"",K40&lt;&gt;""),L40^(IF(K40="a",1,-1)),1)</f>
        <v>1</v>
      </c>
      <c r="P40" s="269" t="n">
        <f aca="true">IF(AND($M$17&gt;=$K$17,$A40&gt;0),OFFSET($B$101,$B40,$C40),0)</f>
        <v>0</v>
      </c>
      <c r="S40" s="59"/>
      <c r="T40" s="277"/>
      <c r="U40" s="277"/>
      <c r="V40" s="59"/>
      <c r="W40" s="273"/>
      <c r="X40" s="139"/>
    </row>
    <row r="41" customFormat="false" ht="12.75" hidden="false" customHeight="true" outlineLevel="0" collapsed="false">
      <c r="A41" s="258" t="n">
        <f aca="false">IF(AND(B41&lt;=$K$1,C41&lt;=$K$1),B41*10+C41,0)</f>
        <v>0</v>
      </c>
      <c r="B41" s="274" t="n">
        <v>4</v>
      </c>
      <c r="C41" s="275" t="n">
        <v>7</v>
      </c>
      <c r="D41" s="261" t="str">
        <f aca="false">IF(OR(B41=B40,A41=0),"",VLOOKUP($B41,$A$6:$D$15,2))</f>
        <v/>
      </c>
      <c r="E41" s="262"/>
      <c r="F41" s="262"/>
      <c r="G41" s="263"/>
      <c r="H41" s="264" t="str">
        <f aca="false">IF(B41&gt;0,VLOOKUP($C41,$A$6:$D$15,2),"")</f>
        <v/>
      </c>
      <c r="I41" s="264"/>
      <c r="J41" s="264"/>
      <c r="K41" s="37"/>
      <c r="L41" s="284"/>
      <c r="M41" s="267" t="str">
        <f aca="false">IF(AND(P41&lt;&gt;0,L$66&gt;=($K$1*($K$1-1)/2)),RANK(P41,P$21:P$65),"")</f>
        <v/>
      </c>
      <c r="N41" s="268" t="str">
        <f aca="true">IF(M41&lt;4,OFFSET($B$123,$B41,$C41),"")</f>
        <v/>
      </c>
      <c r="O41" s="269" t="n">
        <f aca="false">IF(AND(L41&lt;&gt;"",K41&lt;&gt;""),L41^(IF(K41="a",1,-1)),1)</f>
        <v>1</v>
      </c>
      <c r="P41" s="269" t="n">
        <f aca="true">IF(AND($M$17&gt;=$K$17,$A41&gt;0),OFFSET($B$101,$B41,$C41),0)</f>
        <v>0</v>
      </c>
      <c r="S41" s="59"/>
      <c r="T41" s="277"/>
      <c r="U41" s="277"/>
      <c r="V41" s="59"/>
      <c r="W41" s="273"/>
      <c r="X41" s="139"/>
    </row>
    <row r="42" customFormat="false" ht="12.75" hidden="false" customHeight="true" outlineLevel="0" collapsed="false">
      <c r="A42" s="258" t="n">
        <f aca="false">IF(AND(B42&lt;=$K$1,C42&lt;=$K$1),B42*10+C42,0)</f>
        <v>0</v>
      </c>
      <c r="B42" s="278" t="n">
        <v>4</v>
      </c>
      <c r="C42" s="279" t="n">
        <v>8</v>
      </c>
      <c r="D42" s="280" t="str">
        <f aca="false">IF(OR(B42=B41,A42=0),"",VLOOKUP($B42,$A$6:$D$15,2))</f>
        <v/>
      </c>
      <c r="E42" s="281"/>
      <c r="F42" s="281"/>
      <c r="G42" s="282"/>
      <c r="H42" s="283" t="str">
        <f aca="false">IF(B42&gt;0,VLOOKUP($C42,$A$6:$D$15,2),"")</f>
        <v/>
      </c>
      <c r="I42" s="283"/>
      <c r="J42" s="283"/>
      <c r="K42" s="37"/>
      <c r="L42" s="284"/>
      <c r="M42" s="267" t="str">
        <f aca="false">IF(AND(P42&lt;&gt;0,L$66&gt;=($K$1*($K$1-1)/2)),RANK(P42,P$21:P$65),"")</f>
        <v/>
      </c>
      <c r="N42" s="268" t="str">
        <f aca="true">IF(M42&lt;4,OFFSET($B$123,$B42,$C42),"")</f>
        <v/>
      </c>
      <c r="O42" s="269" t="n">
        <f aca="false">IF(AND(L42&lt;&gt;"",K42&lt;&gt;""),L42^(IF(K42="a",1,-1)),1)</f>
        <v>1</v>
      </c>
      <c r="P42" s="269" t="n">
        <f aca="true">IF(AND($M$17&gt;=$K$17,$A42&gt;0),OFFSET($B$101,$B42,$C42),0)</f>
        <v>0</v>
      </c>
      <c r="S42" s="59"/>
      <c r="T42" s="277"/>
      <c r="U42" s="277"/>
      <c r="V42" s="59"/>
    </row>
    <row r="43" customFormat="false" ht="12.75" hidden="false" customHeight="true" outlineLevel="0" collapsed="false">
      <c r="A43" s="258" t="n">
        <f aca="false">IF(AND(B43&lt;=$K$1,C43&lt;=$K$1),B43*10+C43,0)</f>
        <v>0</v>
      </c>
      <c r="B43" s="274" t="n">
        <v>5</v>
      </c>
      <c r="C43" s="275" t="n">
        <v>6</v>
      </c>
      <c r="D43" s="261" t="str">
        <f aca="false">IF(OR(B43=B42,A43=0),"",VLOOKUP($B43,$A$6:$D$15,2))</f>
        <v/>
      </c>
      <c r="E43" s="262"/>
      <c r="F43" s="262"/>
      <c r="G43" s="285"/>
      <c r="H43" s="264" t="str">
        <f aca="false">IF(B43&gt;0,VLOOKUP($C43,$A$6:$D$15,2),"")</f>
        <v/>
      </c>
      <c r="I43" s="264"/>
      <c r="J43" s="264"/>
      <c r="K43" s="37"/>
      <c r="L43" s="284"/>
      <c r="M43" s="267" t="str">
        <f aca="false">IF(AND(P43&lt;&gt;0,L$66&gt;=($K$1*($K$1-1)/2)),RANK(P43,P$21:P$65),"")</f>
        <v/>
      </c>
      <c r="N43" s="268" t="str">
        <f aca="true">IF(M43&lt;4,OFFSET($B$123,$B43,$C43),"")</f>
        <v/>
      </c>
      <c r="O43" s="269" t="n">
        <f aca="false">IF(AND(L43&lt;&gt;"",K43&lt;&gt;""),L43^(IF(K43="a",1,-1)),1)</f>
        <v>1</v>
      </c>
      <c r="P43" s="269" t="n">
        <f aca="true">IF(AND($M$17&gt;=$K$17,$A43&gt;0),OFFSET($B$101,$B43,$C43),0)</f>
        <v>0</v>
      </c>
      <c r="S43" s="59"/>
      <c r="T43" s="277"/>
      <c r="U43" s="277"/>
      <c r="V43" s="59"/>
    </row>
    <row r="44" customFormat="false" ht="12.75" hidden="false" customHeight="true" outlineLevel="0" collapsed="false">
      <c r="A44" s="258" t="n">
        <f aca="false">IF(AND(B44&lt;=$K$1,C44&lt;=$K$1),B44*10+C44,0)</f>
        <v>0</v>
      </c>
      <c r="B44" s="274" t="n">
        <v>5</v>
      </c>
      <c r="C44" s="275" t="n">
        <v>7</v>
      </c>
      <c r="D44" s="261" t="str">
        <f aca="false">IF(OR(B44=B43,A44=0),"",VLOOKUP($B44,$A$6:$D$15,2))</f>
        <v/>
      </c>
      <c r="E44" s="262"/>
      <c r="F44" s="262"/>
      <c r="G44" s="285"/>
      <c r="H44" s="264" t="str">
        <f aca="false">IF(B44&gt;0,VLOOKUP($C44,$A$6:$D$15,2),"")</f>
        <v/>
      </c>
      <c r="I44" s="264"/>
      <c r="J44" s="264"/>
      <c r="K44" s="37"/>
      <c r="L44" s="284"/>
      <c r="M44" s="267" t="str">
        <f aca="false">IF(AND(P44&lt;&gt;0,L$66&gt;=($K$1*($K$1-1)/2)),RANK(P44,P$21:P$65),"")</f>
        <v/>
      </c>
      <c r="N44" s="268" t="str">
        <f aca="true">IF(M44&lt;4,OFFSET($B$123,$B44,$C44),"")</f>
        <v/>
      </c>
      <c r="O44" s="269" t="n">
        <f aca="false">IF(AND(L44&lt;&gt;"",K44&lt;&gt;""),L44^(IF(K44="a",1,-1)),1)</f>
        <v>1</v>
      </c>
      <c r="P44" s="269" t="n">
        <f aca="true">IF(AND($M$17&gt;=$K$17,$A44&gt;0),OFFSET($B$101,$B44,$C44),0)</f>
        <v>0</v>
      </c>
      <c r="S44" s="59"/>
      <c r="T44" s="277"/>
      <c r="U44" s="277"/>
      <c r="V44" s="59"/>
    </row>
    <row r="45" customFormat="false" ht="12.75" hidden="false" customHeight="true" outlineLevel="0" collapsed="false">
      <c r="A45" s="258" t="n">
        <f aca="false">IF(AND(B45&lt;=$K$1,C45&lt;=$K$1),B45*10+C45,0)</f>
        <v>0</v>
      </c>
      <c r="B45" s="278" t="n">
        <v>5</v>
      </c>
      <c r="C45" s="279" t="n">
        <v>8</v>
      </c>
      <c r="D45" s="280" t="str">
        <f aca="false">IF(OR(B45=B44,A45=0),"",VLOOKUP($B45,$A$6:$D$15,2))</f>
        <v/>
      </c>
      <c r="E45" s="281"/>
      <c r="F45" s="281"/>
      <c r="G45" s="286"/>
      <c r="H45" s="283" t="str">
        <f aca="false">IF(B45&gt;0,VLOOKUP($C45,$A$6:$D$15,2),"")</f>
        <v/>
      </c>
      <c r="I45" s="283"/>
      <c r="J45" s="283"/>
      <c r="K45" s="37"/>
      <c r="L45" s="284"/>
      <c r="M45" s="267" t="str">
        <f aca="false">IF(AND(P45&lt;&gt;0,L$66&gt;=($K$1*($K$1-1)/2)),RANK(P45,P$21:P$65),"")</f>
        <v/>
      </c>
      <c r="N45" s="268" t="str">
        <f aca="true">IF(M45&lt;4,OFFSET($B$123,$B45,$C45),"")</f>
        <v/>
      </c>
      <c r="O45" s="269" t="n">
        <f aca="false">IF(AND(L45&lt;&gt;"",K45&lt;&gt;""),L45^(IF(K45="a",1,-1)),1)</f>
        <v>1</v>
      </c>
      <c r="P45" s="269" t="n">
        <f aca="true">IF(AND($M$17&gt;=$K$17,$A45&gt;0),OFFSET($B$101,$B45,$C45),0)</f>
        <v>0</v>
      </c>
      <c r="S45" s="59"/>
      <c r="T45" s="277"/>
      <c r="U45" s="277"/>
      <c r="V45" s="59"/>
    </row>
    <row r="46" customFormat="false" ht="12.75" hidden="false" customHeight="true" outlineLevel="0" collapsed="false">
      <c r="A46" s="258" t="n">
        <f aca="false">IF(AND(B46&lt;=$K$1,C46&lt;=$K$1),B46*10+C46,0)</f>
        <v>0</v>
      </c>
      <c r="B46" s="274" t="n">
        <v>6</v>
      </c>
      <c r="C46" s="275" t="n">
        <v>7</v>
      </c>
      <c r="D46" s="261" t="str">
        <f aca="false">IF(OR(B46=B45,A46=0),"",VLOOKUP($B46,$A$6:$D$15,2))</f>
        <v/>
      </c>
      <c r="E46" s="262"/>
      <c r="F46" s="262"/>
      <c r="G46" s="285"/>
      <c r="H46" s="264" t="str">
        <f aca="false">IF(B46&gt;0,VLOOKUP($C46,$A$6:$D$15,2),"")</f>
        <v/>
      </c>
      <c r="I46" s="264"/>
      <c r="J46" s="264"/>
      <c r="K46" s="37"/>
      <c r="L46" s="284"/>
      <c r="M46" s="267" t="str">
        <f aca="false">IF(AND(P46&lt;&gt;0,L$66&gt;=($K$1*($K$1-1)/2)),RANK(P46,P$21:P$65),"")</f>
        <v/>
      </c>
      <c r="N46" s="268" t="str">
        <f aca="true">IF(M46&lt;4,OFFSET($B$123,$B46,$C46),"")</f>
        <v/>
      </c>
      <c r="O46" s="269" t="n">
        <f aca="false">IF(AND(L46&lt;&gt;"",K46&lt;&gt;""),L46^(IF(K46="a",1,-1)),1)</f>
        <v>1</v>
      </c>
      <c r="P46" s="269" t="n">
        <f aca="true">IF(AND($M$17&gt;=$K$17,$A46&gt;0),OFFSET($B$101,$B46,$C46),0)</f>
        <v>0</v>
      </c>
      <c r="S46" s="59"/>
      <c r="T46" s="277"/>
      <c r="U46" s="277"/>
      <c r="V46" s="59"/>
    </row>
    <row r="47" customFormat="false" ht="12.75" hidden="false" customHeight="true" outlineLevel="0" collapsed="false">
      <c r="A47" s="258" t="n">
        <f aca="false">IF(AND(B47&lt;=$K$1,C47&lt;=$K$1),B47*10+C47,0)</f>
        <v>0</v>
      </c>
      <c r="B47" s="278" t="n">
        <v>6</v>
      </c>
      <c r="C47" s="279" t="n">
        <v>8</v>
      </c>
      <c r="D47" s="280" t="str">
        <f aca="false">IF(OR(B47=B46,A47=0),"",VLOOKUP($B47,$A$6:$D$15,2))</f>
        <v/>
      </c>
      <c r="E47" s="281"/>
      <c r="F47" s="281"/>
      <c r="G47" s="286"/>
      <c r="H47" s="287" t="str">
        <f aca="false">IF(B47&gt;0,VLOOKUP($C47,$A$6:$D$15,2),"")</f>
        <v/>
      </c>
      <c r="I47" s="287"/>
      <c r="J47" s="287"/>
      <c r="K47" s="37"/>
      <c r="L47" s="284"/>
      <c r="M47" s="267" t="str">
        <f aca="false">IF(AND(P47&lt;&gt;0,L$66&gt;=($K$1*($K$1-1)/2)),RANK(P47,P$21:P$65),"")</f>
        <v/>
      </c>
      <c r="N47" s="268" t="str">
        <f aca="true">IF(M47&lt;4,OFFSET($B$123,$B47,$C47),"")</f>
        <v/>
      </c>
      <c r="O47" s="269" t="n">
        <f aca="false">IF(AND(L47&lt;&gt;"",K47&lt;&gt;""),L47^(IF(K47="a",1,-1)),1)</f>
        <v>1</v>
      </c>
      <c r="P47" s="269" t="n">
        <f aca="true">IF(AND($M$17&gt;=$K$17,$A47&gt;0),OFFSET($B$101,$B47,$C47),0)</f>
        <v>0</v>
      </c>
      <c r="S47" s="59"/>
      <c r="T47" s="277"/>
      <c r="U47" s="277"/>
      <c r="V47" s="59"/>
    </row>
    <row r="48" s="59" customFormat="true" ht="12.75" hidden="false" customHeight="true" outlineLevel="0" collapsed="false">
      <c r="A48" s="258" t="n">
        <f aca="false">IF(AND(B48&lt;=$K$1,C48&lt;=$K$1),B48*10+C48,0)</f>
        <v>0</v>
      </c>
      <c r="B48" s="278" t="n">
        <v>7</v>
      </c>
      <c r="C48" s="279" t="n">
        <v>8</v>
      </c>
      <c r="D48" s="280" t="str">
        <f aca="false">IF(OR(B48=B47,A48=0),"",VLOOKUP($B48,$A$6:$D$15,2))</f>
        <v/>
      </c>
      <c r="E48" s="281"/>
      <c r="F48" s="281"/>
      <c r="G48" s="286"/>
      <c r="H48" s="283" t="str">
        <f aca="false">IF(B48&gt;0,VLOOKUP($C48,$A$6:$D$15,2),"")</f>
        <v/>
      </c>
      <c r="I48" s="283"/>
      <c r="J48" s="283"/>
      <c r="K48" s="37"/>
      <c r="L48" s="284"/>
      <c r="M48" s="267" t="str">
        <f aca="false">IF(AND(P48&lt;&gt;0,L$66&gt;=($K$1*($K$1-1)/2)),RANK(P48,P$21:P$65),"")</f>
        <v/>
      </c>
      <c r="N48" s="268" t="str">
        <f aca="true">IF(M48&lt;4,OFFSET($B$123,$B48,$C48),"")</f>
        <v/>
      </c>
      <c r="O48" s="269" t="n">
        <f aca="false">IF(AND(L48&lt;&gt;"",K48&lt;&gt;""),L48^(IF(K48="a",1,-1)),1)</f>
        <v>1</v>
      </c>
      <c r="P48" s="269" t="n">
        <f aca="true">IF(AND($M$17&gt;=$K$17,$A48&gt;0),OFFSET($B$101,$B48,$C48),0)</f>
        <v>0</v>
      </c>
      <c r="T48" s="277"/>
      <c r="U48" s="277"/>
    </row>
    <row r="49" s="59" customFormat="true" ht="12.75" hidden="true" customHeight="true" outlineLevel="1" collapsed="false">
      <c r="A49" s="258" t="n">
        <f aca="false">IF(AND(B49&lt;=$K$1,C49&lt;=$K$1),B49*10+C49,0)</f>
        <v>0</v>
      </c>
      <c r="B49" s="274" t="n">
        <v>1</v>
      </c>
      <c r="C49" s="275" t="n">
        <v>9</v>
      </c>
      <c r="D49" s="261" t="str">
        <f aca="false">IF(OR(B49=B48,A49=0),"",VLOOKUP($B49,$A$6:$D$15,2))</f>
        <v/>
      </c>
      <c r="E49" s="262"/>
      <c r="F49" s="262"/>
      <c r="G49" s="285"/>
      <c r="H49" s="264" t="str">
        <f aca="false">IF(B49&gt;0,VLOOKUP($C49,$A$6:$D$15,2),"")</f>
        <v/>
      </c>
      <c r="I49" s="264"/>
      <c r="J49" s="264"/>
      <c r="K49" s="347"/>
      <c r="L49" s="284"/>
      <c r="M49" s="267" t="str">
        <f aca="false">IF(AND(P49&lt;&gt;0,L$66&gt;=($K$1*($K$1-1)/2)),RANK(P49,P$21:P$65),"")</f>
        <v/>
      </c>
      <c r="N49" s="268" t="str">
        <f aca="true">IF(M49&lt;4,OFFSET($B$123,$B49,$C49),"")</f>
        <v/>
      </c>
      <c r="O49" s="269" t="n">
        <f aca="false">IF(AND(L49&lt;&gt;"",K49&lt;&gt;""),L49^(IF(K49="a",1,-1)),1)</f>
        <v>1</v>
      </c>
      <c r="P49" s="269" t="n">
        <f aca="true">IF(AND($M$17&gt;=$K$17,$A49&gt;0),OFFSET($B$101,$B49,$C49),0)</f>
        <v>0</v>
      </c>
      <c r="T49" s="277"/>
      <c r="U49" s="277"/>
    </row>
    <row r="50" s="271" customFormat="true" ht="12.75" hidden="true" customHeight="true" outlineLevel="1" collapsed="false">
      <c r="A50" s="258" t="n">
        <f aca="false">IF(AND(B50&lt;=$K$1,C50&lt;=$K$1),B50*10+C50,0)</f>
        <v>0</v>
      </c>
      <c r="B50" s="278" t="n">
        <v>1</v>
      </c>
      <c r="C50" s="279" t="n">
        <v>10</v>
      </c>
      <c r="D50" s="280" t="str">
        <f aca="false">IF(OR(B50=B49,A50=0),"",VLOOKUP($B50,$A$6:$D$15,2))</f>
        <v/>
      </c>
      <c r="E50" s="281"/>
      <c r="F50" s="281"/>
      <c r="G50" s="286"/>
      <c r="H50" s="283" t="str">
        <f aca="false">IF(B50&gt;0,VLOOKUP($C50,$A$6:$D$15,2),"")</f>
        <v/>
      </c>
      <c r="I50" s="283"/>
      <c r="J50" s="283"/>
      <c r="K50" s="347"/>
      <c r="L50" s="284"/>
      <c r="M50" s="267" t="str">
        <f aca="false">IF(AND(P50&lt;&gt;0,L$66&gt;=($K$1*($K$1-1)/2)),RANK(P50,P$21:P$65),"")</f>
        <v/>
      </c>
      <c r="N50" s="268" t="str">
        <f aca="true">IF(M50&lt;4,OFFSET($B$123,$B50,$C50),"")</f>
        <v/>
      </c>
      <c r="O50" s="269" t="n">
        <f aca="false">IF(AND(L50&lt;&gt;"",K50&lt;&gt;""),L50^(IF(K50="a",1,-1)),1)</f>
        <v>1</v>
      </c>
      <c r="P50" s="269" t="n">
        <f aca="true">IF(AND($M$17&gt;=$K$17,$A50&gt;0),OFFSET($B$101,$B50,$C50),0)</f>
        <v>0</v>
      </c>
      <c r="T50" s="277"/>
      <c r="U50" s="277"/>
    </row>
    <row r="51" s="59" customFormat="true" ht="12.75" hidden="true" customHeight="true" outlineLevel="1" collapsed="false">
      <c r="A51" s="258" t="n">
        <f aca="false">IF(AND(B51&lt;=$K$1,C51&lt;=$K$1),B51*10+C51,0)</f>
        <v>0</v>
      </c>
      <c r="B51" s="274" t="n">
        <v>2</v>
      </c>
      <c r="C51" s="275" t="n">
        <v>9</v>
      </c>
      <c r="D51" s="261" t="str">
        <f aca="false">IF(OR(B51=B50,A51=0),"",VLOOKUP($B51,$A$6:$D$15,2))</f>
        <v/>
      </c>
      <c r="E51" s="262"/>
      <c r="F51" s="262"/>
      <c r="G51" s="285"/>
      <c r="H51" s="264" t="str">
        <f aca="false">IF(B51&gt;0,VLOOKUP($C51,$A$6:$D$15,2),"")</f>
        <v/>
      </c>
      <c r="I51" s="264"/>
      <c r="J51" s="264"/>
      <c r="K51" s="347"/>
      <c r="L51" s="284"/>
      <c r="M51" s="267" t="str">
        <f aca="false">IF(AND(P51&lt;&gt;0,L$66&gt;=($K$1*($K$1-1)/2)),RANK(P51,P$21:P$65),"")</f>
        <v/>
      </c>
      <c r="N51" s="268" t="str">
        <f aca="true">IF(M51&lt;4,OFFSET($B$123,$B51,$C51),"")</f>
        <v/>
      </c>
      <c r="O51" s="269" t="n">
        <f aca="false">IF(AND(L51&lt;&gt;"",K51&lt;&gt;""),L51^(IF(K51="a",1,-1)),1)</f>
        <v>1</v>
      </c>
      <c r="P51" s="269" t="n">
        <f aca="true">IF(AND($M$17&gt;=$K$17,$A51&gt;0),OFFSET($B$101,$B51,$C51),0)</f>
        <v>0</v>
      </c>
      <c r="T51" s="277"/>
      <c r="U51" s="277"/>
    </row>
    <row r="52" s="59" customFormat="true" ht="12.75" hidden="true" customHeight="true" outlineLevel="1" collapsed="false">
      <c r="A52" s="258" t="n">
        <f aca="false">IF(AND(B52&lt;=$K$1,C52&lt;=$K$1),B52*10+C52,0)</f>
        <v>0</v>
      </c>
      <c r="B52" s="278" t="n">
        <v>2</v>
      </c>
      <c r="C52" s="279" t="n">
        <v>10</v>
      </c>
      <c r="D52" s="280" t="str">
        <f aca="false">IF(OR(B52=B51,A52=0),"",VLOOKUP($B52,$A$6:$D$15,2))</f>
        <v/>
      </c>
      <c r="E52" s="281"/>
      <c r="F52" s="281"/>
      <c r="G52" s="286"/>
      <c r="H52" s="283" t="str">
        <f aca="false">IF(B52&gt;0,VLOOKUP($C52,$A$6:$D$15,2),"")</f>
        <v/>
      </c>
      <c r="I52" s="283"/>
      <c r="J52" s="283"/>
      <c r="K52" s="347"/>
      <c r="L52" s="284"/>
      <c r="M52" s="267" t="str">
        <f aca="false">IF(AND(P52&lt;&gt;0,L$66&gt;=($K$1*($K$1-1)/2)),RANK(P52,P$21:P$65),"")</f>
        <v/>
      </c>
      <c r="N52" s="268" t="str">
        <f aca="true">IF(M52&lt;4,OFFSET($B$123,$B52,$C52),"")</f>
        <v/>
      </c>
      <c r="O52" s="269" t="n">
        <f aca="false">IF(AND(L52&lt;&gt;"",K52&lt;&gt;""),L52^(IF(K52="a",1,-1)),1)</f>
        <v>1</v>
      </c>
      <c r="P52" s="269" t="n">
        <f aca="true">IF(AND($M$17&gt;=$K$17,$A52&gt;0),OFFSET($B$101,$B52,$C52),0)</f>
        <v>0</v>
      </c>
      <c r="T52" s="277"/>
      <c r="U52" s="277"/>
    </row>
    <row r="53" s="59" customFormat="true" ht="12.75" hidden="true" customHeight="true" outlineLevel="1" collapsed="false">
      <c r="A53" s="258" t="n">
        <f aca="false">IF(AND(B53&lt;=$K$1,C53&lt;=$K$1),B53*10+C53,0)</f>
        <v>0</v>
      </c>
      <c r="B53" s="274" t="n">
        <v>3</v>
      </c>
      <c r="C53" s="275" t="n">
        <v>9</v>
      </c>
      <c r="D53" s="261" t="str">
        <f aca="false">IF(OR(B53=B52,A53=0),"",VLOOKUP($B53,$A$6:$D$15,2))</f>
        <v/>
      </c>
      <c r="E53" s="262"/>
      <c r="F53" s="262"/>
      <c r="G53" s="285"/>
      <c r="H53" s="264" t="str">
        <f aca="false">IF(B53&gt;0,VLOOKUP($C53,$A$6:$D$15,2),"")</f>
        <v/>
      </c>
      <c r="I53" s="264"/>
      <c r="J53" s="264"/>
      <c r="K53" s="347"/>
      <c r="L53" s="284"/>
      <c r="M53" s="267" t="str">
        <f aca="false">IF(AND(P53&lt;&gt;0,L$66&gt;=($K$1*($K$1-1)/2)),RANK(P53,P$21:P$65),"")</f>
        <v/>
      </c>
      <c r="N53" s="268" t="str">
        <f aca="true">IF(M53&lt;4,OFFSET($B$123,$B53,$C53),"")</f>
        <v/>
      </c>
      <c r="O53" s="269" t="n">
        <f aca="false">IF(AND(L53&lt;&gt;"",K53&lt;&gt;""),L53^(IF(K53="a",1,-1)),1)</f>
        <v>1</v>
      </c>
      <c r="P53" s="269" t="n">
        <f aca="true">IF(AND($M$17&gt;=$K$17,$A53&gt;0),OFFSET($B$101,$B53,$C53),0)</f>
        <v>0</v>
      </c>
      <c r="T53" s="277"/>
      <c r="U53" s="277"/>
    </row>
    <row r="54" s="59" customFormat="true" ht="12.75" hidden="true" customHeight="true" outlineLevel="1" collapsed="false">
      <c r="A54" s="258" t="n">
        <f aca="false">IF(AND(B54&lt;=$K$1,C54&lt;=$K$1),B54*10+C54,0)</f>
        <v>0</v>
      </c>
      <c r="B54" s="278" t="n">
        <v>3</v>
      </c>
      <c r="C54" s="279" t="n">
        <v>10</v>
      </c>
      <c r="D54" s="280" t="str">
        <f aca="false">IF(OR(B54=B53,A54=0),"",VLOOKUP($B54,$A$6:$D$15,2))</f>
        <v/>
      </c>
      <c r="E54" s="281"/>
      <c r="F54" s="281"/>
      <c r="G54" s="286"/>
      <c r="H54" s="283" t="str">
        <f aca="false">IF(B54&gt;0,VLOOKUP($C54,$A$6:$D$15,2),"")</f>
        <v/>
      </c>
      <c r="I54" s="283"/>
      <c r="J54" s="283"/>
      <c r="K54" s="347"/>
      <c r="L54" s="284"/>
      <c r="M54" s="267" t="str">
        <f aca="false">IF(AND(P54&lt;&gt;0,L$66&gt;=($K$1*($K$1-1)/2)),RANK(P54,P$21:P$65),"")</f>
        <v/>
      </c>
      <c r="N54" s="268" t="str">
        <f aca="true">IF(M54&lt;4,OFFSET($B$123,$B54,$C54),"")</f>
        <v/>
      </c>
      <c r="O54" s="269" t="n">
        <f aca="false">IF(AND(L54&lt;&gt;"",K54&lt;&gt;""),L54^(IF(K54="a",1,-1)),1)</f>
        <v>1</v>
      </c>
      <c r="P54" s="269" t="n">
        <f aca="true">IF(AND($M$17&gt;=$K$17,$A54&gt;0),OFFSET($B$101,$B54,$C54),0)</f>
        <v>0</v>
      </c>
      <c r="T54" s="277"/>
      <c r="U54" s="277"/>
    </row>
    <row r="55" s="59" customFormat="true" ht="12.75" hidden="true" customHeight="true" outlineLevel="1" collapsed="false">
      <c r="A55" s="258" t="n">
        <f aca="false">IF(AND(B55&lt;=$K$1,C55&lt;=$K$1),B55*10+C55,0)</f>
        <v>0</v>
      </c>
      <c r="B55" s="274" t="n">
        <v>4</v>
      </c>
      <c r="C55" s="275" t="n">
        <v>9</v>
      </c>
      <c r="D55" s="261" t="str">
        <f aca="false">IF(OR(B55=B54,A55=0),"",VLOOKUP($B55,$A$6:$D$15,2))</f>
        <v/>
      </c>
      <c r="E55" s="262"/>
      <c r="F55" s="262"/>
      <c r="G55" s="285"/>
      <c r="H55" s="264" t="str">
        <f aca="false">IF(B55&gt;0,VLOOKUP($C55,$A$6:$D$15,2),"")</f>
        <v/>
      </c>
      <c r="I55" s="264"/>
      <c r="J55" s="264"/>
      <c r="K55" s="347"/>
      <c r="L55" s="284"/>
      <c r="M55" s="267" t="str">
        <f aca="false">IF(AND(P55&lt;&gt;0,L$66&gt;=($K$1*($K$1-1)/2)),RANK(P55,P$21:P$65),"")</f>
        <v/>
      </c>
      <c r="N55" s="268" t="str">
        <f aca="true">IF(M55&lt;4,OFFSET($B$123,$B55,$C55),"")</f>
        <v/>
      </c>
      <c r="O55" s="269" t="n">
        <f aca="false">IF(AND(L55&lt;&gt;"",K55&lt;&gt;""),L55^(IF(K55="a",1,-1)),1)</f>
        <v>1</v>
      </c>
      <c r="P55" s="269" t="n">
        <f aca="true">IF(AND($M$17&gt;=$K$17,$A55&gt;0),OFFSET($B$101,$B55,$C55),0)</f>
        <v>0</v>
      </c>
      <c r="T55" s="277"/>
      <c r="U55" s="277"/>
    </row>
    <row r="56" s="59" customFormat="true" ht="12.75" hidden="true" customHeight="true" outlineLevel="1" collapsed="false">
      <c r="A56" s="258" t="n">
        <f aca="false">IF(AND(B56&lt;=$K$1,C56&lt;=$K$1),B56*10+C56,0)</f>
        <v>0</v>
      </c>
      <c r="B56" s="278" t="n">
        <v>4</v>
      </c>
      <c r="C56" s="279" t="n">
        <v>10</v>
      </c>
      <c r="D56" s="280" t="str">
        <f aca="false">IF(OR(B56=B55,A56=0),"",VLOOKUP($B56,$A$6:$D$15,2))</f>
        <v/>
      </c>
      <c r="E56" s="281"/>
      <c r="F56" s="281"/>
      <c r="G56" s="286"/>
      <c r="H56" s="283" t="str">
        <f aca="false">IF(B56&gt;0,VLOOKUP($C56,$A$6:$D$15,2),"")</f>
        <v/>
      </c>
      <c r="I56" s="283"/>
      <c r="J56" s="283"/>
      <c r="K56" s="347"/>
      <c r="L56" s="284"/>
      <c r="M56" s="267" t="str">
        <f aca="false">IF(AND(P56&lt;&gt;0,L$66&gt;=($K$1*($K$1-1)/2)),RANK(P56,P$21:P$65),"")</f>
        <v/>
      </c>
      <c r="N56" s="268" t="str">
        <f aca="true">IF(M56&lt;4,OFFSET($B$123,$B56,$C56),"")</f>
        <v/>
      </c>
      <c r="O56" s="269" t="n">
        <f aca="false">IF(AND(L56&lt;&gt;"",K56&lt;&gt;""),L56^(IF(K56="a",1,-1)),1)</f>
        <v>1</v>
      </c>
      <c r="P56" s="269" t="n">
        <f aca="true">IF(AND($M$17&gt;=$K$17,$A56&gt;0),OFFSET($B$101,$B56,$C56),0)</f>
        <v>0</v>
      </c>
      <c r="T56" s="277"/>
      <c r="U56" s="277"/>
    </row>
    <row r="57" s="59" customFormat="true" ht="12.75" hidden="true" customHeight="true" outlineLevel="1" collapsed="false">
      <c r="A57" s="258" t="n">
        <f aca="false">IF(AND(B57&lt;=$K$1,C57&lt;=$K$1),B57*10+C57,0)</f>
        <v>0</v>
      </c>
      <c r="B57" s="274" t="n">
        <v>5</v>
      </c>
      <c r="C57" s="275" t="n">
        <v>9</v>
      </c>
      <c r="D57" s="261" t="str">
        <f aca="false">IF(OR(B57=B56,A57=0),"",VLOOKUP($B57,$A$6:$D$15,2))</f>
        <v/>
      </c>
      <c r="E57" s="262"/>
      <c r="F57" s="262"/>
      <c r="G57" s="285"/>
      <c r="H57" s="264" t="str">
        <f aca="false">IF(B57&gt;0,VLOOKUP($C57,$A$6:$D$15,2),"")</f>
        <v/>
      </c>
      <c r="I57" s="264"/>
      <c r="J57" s="264"/>
      <c r="K57" s="347"/>
      <c r="L57" s="284"/>
      <c r="M57" s="267" t="str">
        <f aca="false">IF(AND(P57&lt;&gt;0,L$66&gt;=($K$1*($K$1-1)/2)),RANK(P57,P$21:P$65),"")</f>
        <v/>
      </c>
      <c r="N57" s="268" t="str">
        <f aca="true">IF(M57&lt;4,OFFSET($B$123,$B57,$C57),"")</f>
        <v/>
      </c>
      <c r="O57" s="269" t="n">
        <f aca="false">IF(AND(L57&lt;&gt;"",K57&lt;&gt;""),L57^(IF(K57="a",1,-1)),1)</f>
        <v>1</v>
      </c>
      <c r="P57" s="269" t="n">
        <f aca="true">IF(AND($M$17&gt;=$K$17,$A57&gt;0),OFFSET($B$101,$B57,$C57),0)</f>
        <v>0</v>
      </c>
      <c r="T57" s="277"/>
      <c r="U57" s="277"/>
    </row>
    <row r="58" customFormat="false" ht="12.75" hidden="true" customHeight="false" outlineLevel="1" collapsed="false">
      <c r="A58" s="258" t="n">
        <f aca="false">IF(AND(B58&lt;=$K$1,C58&lt;=$K$1),B58*10+C58,0)</f>
        <v>0</v>
      </c>
      <c r="B58" s="278" t="n">
        <v>5</v>
      </c>
      <c r="C58" s="279" t="n">
        <v>10</v>
      </c>
      <c r="D58" s="280" t="str">
        <f aca="false">IF(OR(B58=B57,A58=0),"",VLOOKUP($B58,$A$6:$D$15,2))</f>
        <v/>
      </c>
      <c r="E58" s="281"/>
      <c r="F58" s="281"/>
      <c r="G58" s="286"/>
      <c r="H58" s="283" t="str">
        <f aca="false">IF(B58&gt;0,VLOOKUP($C58,$A$6:$D$15,2),"")</f>
        <v/>
      </c>
      <c r="I58" s="283"/>
      <c r="J58" s="283"/>
      <c r="K58" s="347"/>
      <c r="L58" s="284"/>
      <c r="M58" s="267" t="str">
        <f aca="false">IF(AND(P58&lt;&gt;0,L$66&gt;=($K$1*($K$1-1)/2)),RANK(P58,P$21:P$65),"")</f>
        <v/>
      </c>
      <c r="N58" s="268" t="str">
        <f aca="true">IF(M58&lt;4,OFFSET($B$123,$B58,$C58),"")</f>
        <v/>
      </c>
      <c r="O58" s="269" t="n">
        <f aca="false">IF(AND(L58&lt;&gt;"",K58&lt;&gt;""),L58^(IF(K58="a",1,-1)),1)</f>
        <v>1</v>
      </c>
      <c r="P58" s="269" t="n">
        <f aca="true">IF(AND($M$17&gt;=$K$17,$A58&gt;0),OFFSET($B$101,$B58,$C58),0)</f>
        <v>0</v>
      </c>
      <c r="Q58" s="59"/>
      <c r="R58" s="59"/>
      <c r="S58" s="59"/>
      <c r="T58" s="277"/>
      <c r="U58" s="277"/>
      <c r="V58" s="59"/>
    </row>
    <row r="59" customFormat="false" ht="12.75" hidden="true" customHeight="false" outlineLevel="1" collapsed="false">
      <c r="A59" s="258" t="n">
        <f aca="false">IF(AND(B59&lt;=$K$1,C59&lt;=$K$1),B59*10+C59,0)</f>
        <v>0</v>
      </c>
      <c r="B59" s="274" t="n">
        <v>6</v>
      </c>
      <c r="C59" s="275" t="n">
        <v>9</v>
      </c>
      <c r="D59" s="261" t="str">
        <f aca="false">IF(OR(B59=B58,A59=0),"",VLOOKUP($B59,$A$6:$D$15,2))</f>
        <v/>
      </c>
      <c r="E59" s="262"/>
      <c r="F59" s="262"/>
      <c r="G59" s="285"/>
      <c r="H59" s="264" t="str">
        <f aca="false">IF(B59&gt;0,VLOOKUP($C59,$A$6:$D$15,2),"")</f>
        <v/>
      </c>
      <c r="I59" s="264"/>
      <c r="J59" s="264"/>
      <c r="K59" s="347"/>
      <c r="L59" s="284"/>
      <c r="M59" s="267" t="str">
        <f aca="false">IF(AND(P59&lt;&gt;0,L$66&gt;=($K$1*($K$1-1)/2)),RANK(P59,P$21:P$65),"")</f>
        <v/>
      </c>
      <c r="N59" s="268" t="str">
        <f aca="true">IF(M59&lt;4,OFFSET($B$123,$B59,$C59),"")</f>
        <v/>
      </c>
      <c r="O59" s="269" t="n">
        <f aca="false">IF(AND(L59&lt;&gt;"",K59&lt;&gt;""),L59^(IF(K59="a",1,-1)),1)</f>
        <v>1</v>
      </c>
      <c r="P59" s="269" t="n">
        <f aca="true">IF(AND($M$17&gt;=$K$17,$A59&gt;0),OFFSET($B$101,$B59,$C59),0)</f>
        <v>0</v>
      </c>
      <c r="Q59" s="59"/>
      <c r="R59" s="59"/>
      <c r="S59" s="59"/>
      <c r="T59" s="277"/>
      <c r="U59" s="277"/>
      <c r="V59" s="59"/>
    </row>
    <row r="60" customFormat="false" ht="12.75" hidden="true" customHeight="false" outlineLevel="1" collapsed="false">
      <c r="A60" s="258" t="n">
        <f aca="false">IF(AND(B60&lt;=$K$1,C60&lt;=$K$1),B60*10+C60,0)</f>
        <v>0</v>
      </c>
      <c r="B60" s="278" t="n">
        <v>6</v>
      </c>
      <c r="C60" s="279" t="n">
        <v>10</v>
      </c>
      <c r="D60" s="280" t="str">
        <f aca="false">IF(OR(B60=B59,A60=0),"",VLOOKUP($B60,$A$6:$D$15,2))</f>
        <v/>
      </c>
      <c r="E60" s="281"/>
      <c r="F60" s="281"/>
      <c r="G60" s="286"/>
      <c r="H60" s="283" t="str">
        <f aca="false">IF(B60&gt;0,VLOOKUP($C60,$A$6:$D$15,2),"")</f>
        <v/>
      </c>
      <c r="I60" s="283"/>
      <c r="J60" s="283"/>
      <c r="K60" s="347"/>
      <c r="L60" s="284"/>
      <c r="M60" s="267" t="str">
        <f aca="false">IF(AND(P60&lt;&gt;0,L$66&gt;=($K$1*($K$1-1)/2)),RANK(P60,P$21:P$65),"")</f>
        <v/>
      </c>
      <c r="N60" s="268" t="str">
        <f aca="true">IF(M60&lt;4,OFFSET($B$123,$B60,$C60),"")</f>
        <v/>
      </c>
      <c r="O60" s="269" t="n">
        <f aca="false">IF(AND(L60&lt;&gt;"",K60&lt;&gt;""),L60^(IF(K60="a",1,-1)),1)</f>
        <v>1</v>
      </c>
      <c r="P60" s="269" t="n">
        <f aca="true">IF(AND($M$17&gt;=$K$17,$A60&gt;0),OFFSET($B$101,$B60,$C60),0)</f>
        <v>0</v>
      </c>
      <c r="Q60" s="59"/>
      <c r="R60" s="59"/>
      <c r="S60" s="59"/>
      <c r="T60" s="277"/>
      <c r="U60" s="277"/>
      <c r="V60" s="59"/>
    </row>
    <row r="61" customFormat="false" ht="12.75" hidden="true" customHeight="false" outlineLevel="1" collapsed="false">
      <c r="A61" s="258" t="n">
        <f aca="false">IF(AND(B61&lt;=$K$1,C61&lt;=$K$1),B61*10+C61,0)</f>
        <v>0</v>
      </c>
      <c r="B61" s="274" t="n">
        <v>7</v>
      </c>
      <c r="C61" s="275" t="n">
        <v>9</v>
      </c>
      <c r="D61" s="261" t="str">
        <f aca="false">IF(OR(B61=B60,A61=0),"",VLOOKUP($B61,$A$6:$D$15,2))</f>
        <v/>
      </c>
      <c r="E61" s="262"/>
      <c r="F61" s="262"/>
      <c r="G61" s="285"/>
      <c r="H61" s="264" t="str">
        <f aca="false">IF(B61&gt;0,VLOOKUP($C61,$A$6:$D$15,2),"")</f>
        <v/>
      </c>
      <c r="I61" s="264"/>
      <c r="J61" s="264"/>
      <c r="K61" s="347"/>
      <c r="L61" s="284"/>
      <c r="M61" s="267" t="str">
        <f aca="false">IF(AND(P61&lt;&gt;0,L$66&gt;=($K$1*($K$1-1)/2)),RANK(P61,P$21:P$65),"")</f>
        <v/>
      </c>
      <c r="N61" s="268" t="str">
        <f aca="true">IF(M61&lt;4,OFFSET($B$123,$B61,$C61),"")</f>
        <v/>
      </c>
      <c r="O61" s="269" t="n">
        <f aca="false">IF(AND(L61&lt;&gt;"",K61&lt;&gt;""),L61^(IF(K61="a",1,-1)),1)</f>
        <v>1</v>
      </c>
      <c r="P61" s="269" t="n">
        <f aca="true">IF(AND($M$17&gt;=$K$17,$A61&gt;0),OFFSET($B$101,$B61,$C61),0)</f>
        <v>0</v>
      </c>
      <c r="Q61" s="59"/>
      <c r="S61" s="59"/>
      <c r="T61" s="277"/>
      <c r="U61" s="277"/>
      <c r="V61" s="59"/>
    </row>
    <row r="62" customFormat="false" ht="12.75" hidden="true" customHeight="false" outlineLevel="1" collapsed="false">
      <c r="A62" s="258" t="n">
        <f aca="false">IF(AND(B62&lt;=$K$1,C62&lt;=$K$1),B62*10+C62,0)</f>
        <v>0</v>
      </c>
      <c r="B62" s="278" t="n">
        <v>7</v>
      </c>
      <c r="C62" s="279" t="n">
        <v>10</v>
      </c>
      <c r="D62" s="280" t="str">
        <f aca="false">IF(OR(B62=B61,A62=0),"",VLOOKUP($B62,$A$6:$D$15,2))</f>
        <v/>
      </c>
      <c r="E62" s="281"/>
      <c r="F62" s="281"/>
      <c r="G62" s="286"/>
      <c r="H62" s="283" t="str">
        <f aca="false">IF(B62&gt;0,VLOOKUP($C62,$A$6:$D$15,2),"")</f>
        <v/>
      </c>
      <c r="I62" s="283"/>
      <c r="J62" s="283"/>
      <c r="K62" s="347"/>
      <c r="L62" s="284"/>
      <c r="M62" s="267" t="str">
        <f aca="false">IF(AND(P62&lt;&gt;0,L$66&gt;=($K$1*($K$1-1)/2)),RANK(P62,P$21:P$65),"")</f>
        <v/>
      </c>
      <c r="N62" s="268" t="str">
        <f aca="true">IF(M62&lt;4,OFFSET($B$123,$B62,$C62),"")</f>
        <v/>
      </c>
      <c r="O62" s="269" t="n">
        <f aca="false">IF(AND(L62&lt;&gt;"",K62&lt;&gt;""),L62^(IF(K62="a",1,-1)),1)</f>
        <v>1</v>
      </c>
      <c r="P62" s="269" t="n">
        <f aca="true">IF(AND($M$17&gt;=$K$17,$A62&gt;0),OFFSET($B$101,$B62,$C62),0)</f>
        <v>0</v>
      </c>
      <c r="Q62" s="59"/>
      <c r="S62" s="59"/>
      <c r="T62" s="277"/>
      <c r="U62" s="277"/>
      <c r="V62" s="59"/>
    </row>
    <row r="63" customFormat="false" ht="12.75" hidden="true" customHeight="false" outlineLevel="1" collapsed="false">
      <c r="A63" s="258" t="n">
        <f aca="false">IF(AND(B63&lt;=$K$1,C63&lt;=$K$1),B63*10+C63,0)</f>
        <v>0</v>
      </c>
      <c r="B63" s="274" t="n">
        <v>8</v>
      </c>
      <c r="C63" s="275" t="n">
        <v>9</v>
      </c>
      <c r="D63" s="261" t="str">
        <f aca="false">IF(OR(B63=B62,A63=0),"",VLOOKUP($B63,$A$6:$D$15,2))</f>
        <v/>
      </c>
      <c r="E63" s="262"/>
      <c r="F63" s="262"/>
      <c r="G63" s="285"/>
      <c r="H63" s="264" t="str">
        <f aca="false">IF(B63&gt;0,VLOOKUP($C63,$A$6:$D$15,2),"")</f>
        <v/>
      </c>
      <c r="I63" s="264"/>
      <c r="J63" s="264"/>
      <c r="K63" s="347"/>
      <c r="L63" s="284"/>
      <c r="M63" s="267" t="str">
        <f aca="false">IF(AND(P63&lt;&gt;0,L$66&gt;=($K$1*($K$1-1)/2)),RANK(P63,P$21:P$65),"")</f>
        <v/>
      </c>
      <c r="N63" s="268" t="str">
        <f aca="true">IF(M63&lt;4,OFFSET($B$123,$B63,$C63),"")</f>
        <v/>
      </c>
      <c r="O63" s="269" t="n">
        <f aca="false">IF(AND(L63&lt;&gt;"",K63&lt;&gt;""),L63^(IF(K63="a",1,-1)),1)</f>
        <v>1</v>
      </c>
      <c r="P63" s="269" t="n">
        <f aca="true">IF(AND($M$17&gt;=$K$17,$A63&gt;0),OFFSET($B$101,$B63,$C63),0)</f>
        <v>0</v>
      </c>
      <c r="S63" s="59"/>
      <c r="T63" s="277"/>
      <c r="U63" s="277"/>
      <c r="V63" s="59"/>
    </row>
    <row r="64" customFormat="false" ht="12.75" hidden="true" customHeight="false" outlineLevel="1" collapsed="false">
      <c r="A64" s="258" t="n">
        <f aca="false">IF(AND(B64&lt;=$K$1,C64&lt;=$K$1),B64*10+C64,0)</f>
        <v>0</v>
      </c>
      <c r="B64" s="278" t="n">
        <v>8</v>
      </c>
      <c r="C64" s="279" t="n">
        <v>10</v>
      </c>
      <c r="D64" s="280" t="str">
        <f aca="false">IF(OR(B64=B63,A64=0),"",VLOOKUP($B64,$A$6:$D$15,2))</f>
        <v/>
      </c>
      <c r="E64" s="281"/>
      <c r="F64" s="281"/>
      <c r="G64" s="286"/>
      <c r="H64" s="283" t="str">
        <f aca="false">IF(B64&gt;0,VLOOKUP($C64,$A$6:$D$15,2),"")</f>
        <v/>
      </c>
      <c r="I64" s="283"/>
      <c r="J64" s="283"/>
      <c r="K64" s="347"/>
      <c r="L64" s="284"/>
      <c r="M64" s="267" t="str">
        <f aca="false">IF(AND(P64&lt;&gt;0,L$66&gt;=($K$1*($K$1-1)/2)),RANK(P64,P$21:P$65),"")</f>
        <v/>
      </c>
      <c r="N64" s="268" t="str">
        <f aca="true">IF(M64&lt;4,OFFSET($B$123,$B64,$C64),"")</f>
        <v/>
      </c>
      <c r="O64" s="269" t="n">
        <f aca="false">IF(AND(L64&lt;&gt;"",K64&lt;&gt;""),L64^(IF(K64="a",1,-1)),1)</f>
        <v>1</v>
      </c>
      <c r="P64" s="269" t="n">
        <f aca="true">IF(AND($M$17&gt;=$K$17,$A64&gt;0),OFFSET($B$101,$B64,$C64),0)</f>
        <v>0</v>
      </c>
      <c r="S64" s="59"/>
      <c r="T64" s="277"/>
      <c r="U64" s="277"/>
      <c r="V64" s="59"/>
    </row>
    <row r="65" customFormat="false" ht="13.5" hidden="true" customHeight="false" outlineLevel="1" collapsed="false">
      <c r="A65" s="258" t="n">
        <f aca="false">IF(AND(B65&lt;=$K$1,C65&lt;=$K$1),B65*10+C65,0)</f>
        <v>0</v>
      </c>
      <c r="B65" s="288" t="n">
        <v>9</v>
      </c>
      <c r="C65" s="289" t="n">
        <v>10</v>
      </c>
      <c r="D65" s="290" t="str">
        <f aca="false">IF(OR(B65=B64,A65=0),"",VLOOKUP($B65,$A$6:$D$15,2))</f>
        <v/>
      </c>
      <c r="E65" s="291"/>
      <c r="F65" s="291"/>
      <c r="G65" s="292"/>
      <c r="H65" s="293" t="str">
        <f aca="false">IF(B65&gt;0,VLOOKUP($C65,$A$6:$D$15,2),"")</f>
        <v/>
      </c>
      <c r="I65" s="293"/>
      <c r="J65" s="293"/>
      <c r="K65" s="348"/>
      <c r="L65" s="295"/>
      <c r="M65" s="267" t="str">
        <f aca="false">IF(AND(P65&lt;&gt;0,L$66&gt;=($K$1*($K$1-1)/2)),RANK(P65,P$21:P$65),"")</f>
        <v/>
      </c>
      <c r="N65" s="268" t="str">
        <f aca="true">IF(M65&lt;4,OFFSET($B$123,$B65,$C65),"")</f>
        <v/>
      </c>
      <c r="O65" s="269" t="n">
        <f aca="false">IF(AND(L65&lt;&gt;"",K65&lt;&gt;""),L65^(IF(K65="a",1,-1)),1)</f>
        <v>1</v>
      </c>
      <c r="P65" s="269" t="n">
        <f aca="true">IF(AND($M$17&gt;=$K$17,$A65&gt;0),OFFSET($B$101,$B65,$C65),0)</f>
        <v>0</v>
      </c>
      <c r="S65" s="59"/>
      <c r="T65" s="277"/>
      <c r="U65" s="277"/>
      <c r="V65" s="59"/>
    </row>
    <row r="66" customFormat="false" ht="12.75" hidden="false" customHeight="false" outlineLevel="0" collapsed="false">
      <c r="A66" s="296"/>
      <c r="B66" s="297"/>
      <c r="C66" s="297"/>
      <c r="D66" s="298"/>
      <c r="E66" s="298"/>
      <c r="F66" s="298"/>
      <c r="G66" s="261"/>
      <c r="H66" s="299"/>
      <c r="I66" s="49"/>
      <c r="J66" s="49"/>
      <c r="K66" s="300" t="n">
        <f aca="false">COUNT(K21:K65)</f>
        <v>0</v>
      </c>
      <c r="L66" s="300" t="n">
        <f aca="false">COUNT(L21:L65)</f>
        <v>0</v>
      </c>
      <c r="M66" s="301"/>
      <c r="N66" s="27"/>
      <c r="O66" s="27"/>
      <c r="P66" s="43"/>
    </row>
    <row r="67" customFormat="false" ht="12.75" hidden="false" customHeight="true" outlineLevel="1" collapsed="false">
      <c r="A67" s="302" t="s">
        <v>128</v>
      </c>
      <c r="B67" s="302"/>
      <c r="C67" s="302"/>
      <c r="D67" s="303" t="s">
        <v>129</v>
      </c>
      <c r="E67" s="303"/>
      <c r="F67" s="303"/>
      <c r="G67" s="303" t="s">
        <v>130</v>
      </c>
      <c r="H67" s="303"/>
      <c r="I67" s="303"/>
      <c r="J67" s="303"/>
      <c r="K67" s="303"/>
      <c r="L67" s="303"/>
      <c r="M67" s="303"/>
      <c r="N67" s="303"/>
      <c r="O67" s="27"/>
      <c r="P67" s="43"/>
    </row>
    <row r="68" customFormat="false" ht="24.95" hidden="false" customHeight="true" outlineLevel="1" collapsed="false">
      <c r="A68" s="304" t="n">
        <v>1</v>
      </c>
      <c r="B68" s="304"/>
      <c r="C68" s="304"/>
      <c r="D68" s="305" t="s">
        <v>131</v>
      </c>
      <c r="E68" s="305"/>
      <c r="F68" s="305"/>
      <c r="G68" s="306" t="s">
        <v>132</v>
      </c>
      <c r="H68" s="306"/>
      <c r="I68" s="306"/>
      <c r="J68" s="306"/>
      <c r="K68" s="306"/>
      <c r="L68" s="306"/>
      <c r="M68" s="306"/>
      <c r="N68" s="306"/>
      <c r="O68" s="27"/>
      <c r="P68" s="43"/>
    </row>
    <row r="69" customFormat="false" ht="24.95" hidden="false" customHeight="true" outlineLevel="1" collapsed="false">
      <c r="A69" s="304" t="n">
        <v>3</v>
      </c>
      <c r="B69" s="304"/>
      <c r="C69" s="304"/>
      <c r="D69" s="305" t="s">
        <v>133</v>
      </c>
      <c r="E69" s="305"/>
      <c r="F69" s="305"/>
      <c r="G69" s="306" t="s">
        <v>134</v>
      </c>
      <c r="H69" s="306"/>
      <c r="I69" s="306"/>
      <c r="J69" s="306"/>
      <c r="K69" s="306"/>
      <c r="L69" s="306"/>
      <c r="M69" s="306"/>
      <c r="N69" s="306"/>
      <c r="O69" s="27"/>
      <c r="P69" s="43"/>
    </row>
    <row r="70" customFormat="false" ht="24.95" hidden="false" customHeight="true" outlineLevel="1" collapsed="false">
      <c r="A70" s="304" t="n">
        <v>5</v>
      </c>
      <c r="B70" s="304"/>
      <c r="C70" s="304"/>
      <c r="D70" s="305" t="s">
        <v>135</v>
      </c>
      <c r="E70" s="305"/>
      <c r="F70" s="305"/>
      <c r="G70" s="306" t="s">
        <v>136</v>
      </c>
      <c r="H70" s="306"/>
      <c r="I70" s="306"/>
      <c r="J70" s="306"/>
      <c r="K70" s="306"/>
      <c r="L70" s="306"/>
      <c r="M70" s="306"/>
      <c r="N70" s="306"/>
      <c r="O70" s="27"/>
      <c r="P70" s="43"/>
    </row>
    <row r="71" customFormat="false" ht="24.95" hidden="false" customHeight="true" outlineLevel="1" collapsed="false">
      <c r="A71" s="304" t="n">
        <v>7</v>
      </c>
      <c r="B71" s="304"/>
      <c r="C71" s="304"/>
      <c r="D71" s="305" t="s">
        <v>137</v>
      </c>
      <c r="E71" s="305"/>
      <c r="F71" s="305"/>
      <c r="G71" s="306" t="s">
        <v>138</v>
      </c>
      <c r="H71" s="306"/>
      <c r="I71" s="306"/>
      <c r="J71" s="306"/>
      <c r="K71" s="306"/>
      <c r="L71" s="306"/>
      <c r="M71" s="306"/>
      <c r="N71" s="306"/>
      <c r="O71" s="27"/>
      <c r="P71" s="43"/>
    </row>
    <row r="72" customFormat="false" ht="24.95" hidden="false" customHeight="true" outlineLevel="1" collapsed="false">
      <c r="A72" s="304" t="n">
        <v>9</v>
      </c>
      <c r="B72" s="304"/>
      <c r="C72" s="304"/>
      <c r="D72" s="305" t="s">
        <v>139</v>
      </c>
      <c r="E72" s="305"/>
      <c r="F72" s="305"/>
      <c r="G72" s="306" t="s">
        <v>140</v>
      </c>
      <c r="H72" s="306"/>
      <c r="I72" s="306"/>
      <c r="J72" s="306"/>
      <c r="K72" s="306"/>
      <c r="L72" s="306"/>
      <c r="M72" s="306"/>
      <c r="N72" s="306"/>
      <c r="O72" s="27"/>
      <c r="P72" s="43"/>
    </row>
    <row r="73" customFormat="false" ht="23.25" hidden="false" customHeight="true" outlineLevel="1" collapsed="false">
      <c r="A73" s="307" t="s">
        <v>141</v>
      </c>
      <c r="B73" s="307"/>
      <c r="C73" s="307"/>
      <c r="D73" s="307"/>
      <c r="E73" s="307"/>
      <c r="F73" s="307"/>
      <c r="G73" s="307"/>
      <c r="H73" s="307"/>
      <c r="I73" s="307"/>
      <c r="J73" s="307"/>
      <c r="K73" s="307"/>
      <c r="L73" s="307"/>
      <c r="M73" s="307"/>
      <c r="N73" s="307"/>
      <c r="O73" s="27"/>
      <c r="P73" s="43"/>
    </row>
    <row r="74" customFormat="false" ht="12.75" hidden="false" customHeight="false" outlineLevel="0" collapsed="false">
      <c r="A74" s="296"/>
      <c r="B74" s="297"/>
      <c r="C74" s="297"/>
      <c r="D74" s="298"/>
      <c r="E74" s="298"/>
      <c r="F74" s="298"/>
      <c r="G74" s="261"/>
      <c r="H74" s="299"/>
      <c r="I74" s="49"/>
      <c r="J74" s="49"/>
      <c r="K74" s="301"/>
      <c r="L74" s="49"/>
      <c r="M74" s="301"/>
      <c r="N74" s="27"/>
      <c r="O74" s="27"/>
      <c r="P74" s="43"/>
    </row>
    <row r="75" customFormat="false" ht="12.75" hidden="true" customHeight="true" outlineLevel="1" collapsed="false">
      <c r="A75" s="308" t="s">
        <v>142</v>
      </c>
      <c r="B75" s="162"/>
      <c r="C75" s="309"/>
      <c r="D75" s="310"/>
      <c r="E75" s="310"/>
      <c r="F75" s="161"/>
      <c r="G75" s="161"/>
      <c r="H75" s="161"/>
      <c r="I75" s="309"/>
      <c r="J75" s="309"/>
      <c r="K75" s="309"/>
      <c r="L75" s="309"/>
      <c r="M75" s="309"/>
      <c r="N75" s="311"/>
      <c r="O75" s="234"/>
      <c r="P75" s="234"/>
      <c r="Q75" s="234"/>
      <c r="R75" s="234"/>
      <c r="S75" s="234"/>
    </row>
    <row r="76" customFormat="false" ht="12.75" hidden="true" customHeight="true" outlineLevel="1" collapsed="false">
      <c r="A76" s="312"/>
      <c r="B76" s="313" t="s">
        <v>143</v>
      </c>
      <c r="C76" s="32"/>
      <c r="D76" s="314"/>
      <c r="E76" s="314"/>
      <c r="F76" s="314"/>
      <c r="G76" s="315" t="s">
        <v>144</v>
      </c>
      <c r="H76" s="316" t="n">
        <f aca="false">O1</f>
        <v>20</v>
      </c>
      <c r="I76" s="32"/>
      <c r="J76" s="32"/>
      <c r="K76" s="32"/>
      <c r="L76" s="32"/>
      <c r="M76" s="32"/>
      <c r="N76" s="317"/>
      <c r="O76" s="234"/>
      <c r="P76" s="234"/>
      <c r="Q76" s="234"/>
      <c r="R76" s="234"/>
      <c r="S76" s="234"/>
    </row>
    <row r="77" customFormat="false" ht="39.75" hidden="true" customHeight="true" outlineLevel="1" collapsed="false">
      <c r="A77" s="177"/>
      <c r="B77" s="32"/>
      <c r="C77" s="318" t="str">
        <f aca="false" t="array" ref="C77:L77">TRANSPOSE(B6:B15)</f>
        <v>Crit-1</v>
      </c>
      <c r="D77" s="318" t="str">
        <v>Crit-2</v>
      </c>
      <c r="E77" s="318" t="str">
        <v/>
      </c>
      <c r="F77" s="318" t="str">
        <v/>
      </c>
      <c r="G77" s="318" t="str">
        <v/>
      </c>
      <c r="H77" s="318" t="str">
        <v/>
      </c>
      <c r="I77" s="319" t="str">
        <v/>
      </c>
      <c r="J77" s="320" t="str">
        <v/>
      </c>
      <c r="K77" s="320" t="str">
        <v/>
      </c>
      <c r="L77" s="320" t="str">
        <v/>
      </c>
      <c r="M77" s="108"/>
      <c r="N77" s="321"/>
      <c r="O77" s="43"/>
      <c r="P77" s="43"/>
      <c r="Q77" s="322"/>
      <c r="R77" s="322"/>
      <c r="S77" s="322"/>
    </row>
    <row r="78" customFormat="false" ht="12.75" hidden="true" customHeight="true" outlineLevel="1" collapsed="false">
      <c r="A78" s="177"/>
      <c r="B78" s="32"/>
      <c r="C78" s="236" t="n">
        <v>1</v>
      </c>
      <c r="D78" s="236" t="n">
        <v>2</v>
      </c>
      <c r="E78" s="236" t="n">
        <v>3</v>
      </c>
      <c r="F78" s="236" t="n">
        <v>4</v>
      </c>
      <c r="G78" s="236" t="n">
        <v>5</v>
      </c>
      <c r="H78" s="236" t="n">
        <v>6</v>
      </c>
      <c r="I78" s="236" t="n">
        <v>7</v>
      </c>
      <c r="J78" s="236" t="n">
        <v>8</v>
      </c>
      <c r="K78" s="236" t="n">
        <v>9</v>
      </c>
      <c r="L78" s="236" t="n">
        <v>10</v>
      </c>
      <c r="M78" s="108"/>
      <c r="N78" s="168"/>
      <c r="O78" s="43"/>
      <c r="P78" s="323" t="s">
        <v>145</v>
      </c>
      <c r="Q78" s="135" t="n">
        <v>1</v>
      </c>
      <c r="R78" s="135" t="n">
        <v>2</v>
      </c>
      <c r="S78" s="135" t="n">
        <v>3</v>
      </c>
      <c r="T78" s="324" t="n">
        <v>4</v>
      </c>
      <c r="U78" s="324" t="n">
        <v>5</v>
      </c>
      <c r="V78" s="324" t="n">
        <v>6</v>
      </c>
      <c r="W78" s="324" t="n">
        <v>7</v>
      </c>
      <c r="X78" s="324" t="n">
        <v>8</v>
      </c>
      <c r="Y78" s="324" t="n">
        <v>9</v>
      </c>
      <c r="Z78" s="324" t="n">
        <v>10</v>
      </c>
    </row>
    <row r="79" customFormat="false" ht="12.75" hidden="true" customHeight="true" outlineLevel="1" collapsed="false">
      <c r="A79" s="325"/>
      <c r="B79" s="236" t="n">
        <v>1</v>
      </c>
      <c r="C79" s="349" t="n">
        <v>1</v>
      </c>
      <c r="D79" s="350" t="n">
        <f aca="false">IF(ISNA(VLOOKUP(($B79*10+D$78),$A$21:$O$65,15,0)),0,VLOOKUP(($B79*10+D$78),$A$21:$O$65,15,0))</f>
        <v>1</v>
      </c>
      <c r="E79" s="350" t="n">
        <f aca="false">IF(ISNA(VLOOKUP(($B79*10+E$78),$A$21:$O$65,15,0)),0,VLOOKUP(($B79*10+E$78),$A$21:$O$65,15,0))</f>
        <v>0</v>
      </c>
      <c r="F79" s="350" t="n">
        <f aca="false">IF(ISNA(VLOOKUP(($B79*10+F$78),$A$21:$O$65,15,0)),0,VLOOKUP(($B79*10+F$78),$A$21:$O$65,15,0))</f>
        <v>0</v>
      </c>
      <c r="G79" s="350" t="n">
        <f aca="false">IF(ISNA(VLOOKUP(($B79*10+G$78),$A$21:$O$65,15,0)),0,VLOOKUP(($B79*10+G$78),$A$21:$O$65,15,0))</f>
        <v>0</v>
      </c>
      <c r="H79" s="350" t="n">
        <f aca="false">IF(ISNA(VLOOKUP(($B79*10+H$78),$A$21:$O$65,15,0)),0,VLOOKUP(($B79*10+H$78),$A$21:$O$65,15,0))</f>
        <v>0</v>
      </c>
      <c r="I79" s="350" t="n">
        <f aca="false">IF(ISNA(VLOOKUP(($B79*10+I$78),$A$21:$O$65,15,0)),0,VLOOKUP(($B79*10+I$78),$A$21:$O$65,15,0))</f>
        <v>0</v>
      </c>
      <c r="J79" s="350" t="n">
        <f aca="false">IF(ISNA(VLOOKUP(($B79*10+J$78),$A$21:$O$65,15,0)),0,VLOOKUP(($B79*10+J$78),$A$21:$O$65,15,0))</f>
        <v>0</v>
      </c>
      <c r="K79" s="350" t="n">
        <f aca="false">IF(ISNA(VLOOKUP(($B79*10+K$78),$A$21:$O$65,15,0)),0,VLOOKUP(($B79*10+K$78),$A$21:$O$65,15,0))</f>
        <v>0</v>
      </c>
      <c r="L79" s="350" t="n">
        <f aca="false">IF(ISNA(VLOOKUP(($B79*10+L$78),$A$21:$O$65,15,0)),0,VLOOKUP(($B79*10+L$78),$A$21:$O$65,15,0))</f>
        <v>0</v>
      </c>
      <c r="M79" s="108"/>
      <c r="N79" s="168"/>
      <c r="O79" s="43"/>
      <c r="P79" s="327" t="n">
        <f aca="false">SQRT( SUM(Q79:Z79)/($K$1-1) )</f>
        <v>0</v>
      </c>
      <c r="Q79" s="326" t="n">
        <f aca="false">IF(OR($B79&gt;$K$1,Q$78&gt;$K$1),0,LN(INDEX($C$79:$L$88,$B79,Q$78)*INDEX($N$91:$N$100,Q$78)/INDEX($N$91:$N$100,$B79))^2)</f>
        <v>0</v>
      </c>
      <c r="R79" s="327" t="n">
        <f aca="false">IF(OR($B79&gt;$K$1,R$78&gt;$K$1),0,LN(INDEX($C$79:$L$88,$B79,R$78)*INDEX($N$91:$N$100,R$78)/INDEX($N$91:$N$100,$B79))^2)</f>
        <v>0</v>
      </c>
      <c r="S79" s="327" t="n">
        <f aca="false">IF(OR($B79&gt;$K$1,S$78&gt;$K$1),0,LN(INDEX($C$79:$L$88,$B79,S$78)*INDEX($N$91:$N$100,S$78)/INDEX($N$91:$N$100,$B79))^2)</f>
        <v>0</v>
      </c>
      <c r="T79" s="327" t="n">
        <f aca="false">IF(OR($B79&gt;$K$1,T$78&gt;$K$1),0,LN(INDEX($C$79:$L$88,$B79,T$78)*INDEX($N$91:$N$100,T$78)/INDEX($N$91:$N$100,$B79))^2)</f>
        <v>0</v>
      </c>
      <c r="U79" s="327" t="n">
        <f aca="false">IF(OR($B79&gt;$K$1,U$78&gt;$K$1),0,LN(INDEX($C$79:$L$88,$B79,U$78)*INDEX($N$91:$N$100,U$78)/INDEX($N$91:$N$100,$B79))^2)</f>
        <v>0</v>
      </c>
      <c r="V79" s="327" t="n">
        <f aca="false">IF(OR($B79&gt;$K$1,V$78&gt;$K$1),0,LN(INDEX($C$79:$L$88,$B79,V$78)*INDEX($N$91:$N$100,V$78)/INDEX($N$91:$N$100,$B79))^2)</f>
        <v>0</v>
      </c>
      <c r="W79" s="327" t="n">
        <f aca="false">IF(OR($B79&gt;$K$1,W$78&gt;$K$1),0,LN(INDEX($C$79:$L$88,$B79,W$78)*INDEX($N$91:$N$100,W$78)/INDEX($N$91:$N$100,$B79))^2)</f>
        <v>0</v>
      </c>
      <c r="X79" s="327" t="n">
        <f aca="false">IF(OR($B79&gt;$K$1,X$78&gt;$K$1),0,LN(INDEX($C$79:$L$88,$B79,X$78)*INDEX($N$91:$N$100,X$78)/INDEX($N$91:$N$100,$B79))^2)</f>
        <v>0</v>
      </c>
      <c r="Y79" s="327" t="n">
        <f aca="false">IF(OR($B79&gt;$K$1,Y$78&gt;$K$1),0,LN(INDEX($C$79:$L$88,$B79,Y$78)*INDEX($N$91:$N$100,Y$78)/INDEX($N$91:$N$100,$B79))^2)</f>
        <v>0</v>
      </c>
      <c r="Z79" s="327" t="n">
        <f aca="false">IF(OR($B79&gt;$K$1,Z$78&gt;$K$1),0,LN(INDEX($C$79:$L$88,$B79,Z$78)*INDEX($N$91:$N$100,Z$78)/INDEX($N$91:$N$100,$B79))^2)</f>
        <v>0</v>
      </c>
    </row>
    <row r="80" customFormat="false" ht="12.75" hidden="true" customHeight="true" outlineLevel="1" collapsed="false">
      <c r="A80" s="325"/>
      <c r="B80" s="236" t="n">
        <v>2</v>
      </c>
      <c r="C80" s="350" t="n">
        <f aca="false">IF(ISNA(VLOOKUP((10*C$78+$B80),$A$21:$O$65,15,0)),0,1/VLOOKUP((10*C$78+$B80),$A$21:$O$65,15,0))</f>
        <v>1</v>
      </c>
      <c r="D80" s="349" t="n">
        <v>1</v>
      </c>
      <c r="E80" s="350" t="n">
        <f aca="false">IF(ISNA(VLOOKUP(($B80*10+E$78),$A$21:$O$65,15,0)),0,VLOOKUP(($B80*10+E$78),$A$21:$O$65,15,0))</f>
        <v>0</v>
      </c>
      <c r="F80" s="350" t="n">
        <f aca="false">IF(ISNA(VLOOKUP(($B80*10+F$78),$A$21:$O$65,15,0)),0,VLOOKUP(($B80*10+F$78),$A$21:$O$65,15,0))</f>
        <v>0</v>
      </c>
      <c r="G80" s="350" t="n">
        <f aca="false">IF(ISNA(VLOOKUP(($B80*10+G$78),$A$21:$O$65,15,0)),0,VLOOKUP(($B80*10+G$78),$A$21:$O$65,15,0))</f>
        <v>0</v>
      </c>
      <c r="H80" s="350" t="n">
        <f aca="false">IF(ISNA(VLOOKUP(($B80*10+H$78),$A$21:$O$65,15,0)),0,VLOOKUP(($B80*10+H$78),$A$21:$O$65,15,0))</f>
        <v>0</v>
      </c>
      <c r="I80" s="350" t="n">
        <f aca="false">IF(ISNA(VLOOKUP(($B80*10+I$78),$A$21:$O$65,15,0)),0,VLOOKUP(($B80*10+I$78),$A$21:$O$65,15,0))</f>
        <v>0</v>
      </c>
      <c r="J80" s="350" t="n">
        <f aca="false">IF(ISNA(VLOOKUP(($B80*10+J$78),$A$21:$O$65,15,0)),0,VLOOKUP(($B80*10+J$78),$A$21:$O$65,15,0))</f>
        <v>0</v>
      </c>
      <c r="K80" s="350" t="n">
        <f aca="false">IF(ISNA(VLOOKUP(($B80*10+K$78),$A$21:$O$65,15,0)),0,VLOOKUP(($B80*10+K$78),$A$21:$O$65,15,0))</f>
        <v>0</v>
      </c>
      <c r="L80" s="350" t="n">
        <f aca="false">IF(ISNA(VLOOKUP(($B80*10+L$78),$A$21:$O$65,15,0)),0,VLOOKUP(($B80*10+L$78),$A$21:$O$65,15,0))</f>
        <v>0</v>
      </c>
      <c r="M80" s="108"/>
      <c r="N80" s="168"/>
      <c r="O80" s="43"/>
      <c r="P80" s="327" t="n">
        <f aca="false">SQRT( SUM(Q80:Z80)/($K$1-1) )</f>
        <v>0</v>
      </c>
      <c r="Q80" s="327" t="n">
        <f aca="false">IF(OR($B80&gt;$K$1,Q$78&gt;$K$1),0,LN(INDEX($C$79:$L$88,$B80,Q$78)*INDEX($N$91:$N$100,Q$78)/INDEX($N$91:$N$100,$B80))^2)</f>
        <v>0</v>
      </c>
      <c r="R80" s="326" t="n">
        <f aca="false">IF(OR($B80&gt;$K$1,R$78&gt;$K$1),0,LN(INDEX($C$79:$L$88,$B80,R$78)*INDEX($N$91:$N$100,R$78)/INDEX($N$91:$N$100,$B80))^2)</f>
        <v>0</v>
      </c>
      <c r="S80" s="327" t="n">
        <f aca="false">IF(OR($B80&gt;$K$1,S$78&gt;$K$1),0,LN(INDEX($C$79:$L$88,$B80,S$78)*INDEX($N$91:$N$100,S$78)/INDEX($N$91:$N$100,$B80))^2)</f>
        <v>0</v>
      </c>
      <c r="T80" s="327" t="n">
        <f aca="false">IF(OR($B80&gt;$K$1,T$78&gt;$K$1),0,LN(INDEX($C$79:$L$88,$B80,T$78)*INDEX($N$91:$N$100,T$78)/INDEX($N$91:$N$100,$B80))^2)</f>
        <v>0</v>
      </c>
      <c r="U80" s="327" t="n">
        <f aca="false">IF(OR($B80&gt;$K$1,U$78&gt;$K$1),0,LN(INDEX($C$79:$L$88,$B80,U$78)*INDEX($N$91:$N$100,U$78)/INDEX($N$91:$N$100,$B80))^2)</f>
        <v>0</v>
      </c>
      <c r="V80" s="327" t="n">
        <f aca="false">IF(OR($B80&gt;$K$1,V$78&gt;$K$1),0,LN(INDEX($C$79:$L$88,$B80,V$78)*INDEX($N$91:$N$100,V$78)/INDEX($N$91:$N$100,$B80))^2)</f>
        <v>0</v>
      </c>
      <c r="W80" s="327" t="n">
        <f aca="false">IF(OR($B80&gt;$K$1,W$78&gt;$K$1),0,LN(INDEX($C$79:$L$88,$B80,W$78)*INDEX($N$91:$N$100,W$78)/INDEX($N$91:$N$100,$B80))^2)</f>
        <v>0</v>
      </c>
      <c r="X80" s="327" t="n">
        <f aca="false">IF(OR($B80&gt;$K$1,X$78&gt;$K$1),0,LN(INDEX($C$79:$L$88,$B80,X$78)*INDEX($N$91:$N$100,X$78)/INDEX($N$91:$N$100,$B80))^2)</f>
        <v>0</v>
      </c>
      <c r="Y80" s="327" t="n">
        <f aca="false">IF(OR($B80&gt;$K$1,Y$78&gt;$K$1),0,LN(INDEX($C$79:$L$88,$B80,Y$78)*INDEX($N$91:$N$100,Y$78)/INDEX($N$91:$N$100,$B80))^2)</f>
        <v>0</v>
      </c>
      <c r="Z80" s="327" t="n">
        <f aca="false">IF(OR($B80&gt;$K$1,Z$78&gt;$K$1),0,LN(INDEX($C$79:$L$88,$B80,Z$78)*INDEX($N$91:$N$100,Z$78)/INDEX($N$91:$N$100,$B80))^2)</f>
        <v>0</v>
      </c>
    </row>
    <row r="81" customFormat="false" ht="12.75" hidden="true" customHeight="true" outlineLevel="1" collapsed="false">
      <c r="A81" s="325"/>
      <c r="B81" s="236" t="n">
        <v>3</v>
      </c>
      <c r="C81" s="350" t="n">
        <f aca="false">IF(ISNA(VLOOKUP((10*C$78+$B81),$A$21:$O$65,15,0)),0,1/VLOOKUP((10*C$78+$B81),$A$21:$O$65,15,0))</f>
        <v>0</v>
      </c>
      <c r="D81" s="350" t="n">
        <f aca="false">IF(ISNA(VLOOKUP((10*D$78+$B81),$A$21:$O$65,15,0)),0,1/VLOOKUP((10*D$78+$B81),$A$21:$O$65,15,0))</f>
        <v>0</v>
      </c>
      <c r="E81" s="349" t="n">
        <v>1</v>
      </c>
      <c r="F81" s="350" t="n">
        <f aca="false">IF(ISNA(VLOOKUP(($B81*10+F$78),$A$21:$O$65,15,0)),0,VLOOKUP(($B81*10+F$78),$A$21:$O$65,15,0))</f>
        <v>0</v>
      </c>
      <c r="G81" s="350" t="n">
        <f aca="false">IF(ISNA(VLOOKUP(($B81*10+G$78),$A$21:$O$65,15,0)),0,VLOOKUP(($B81*10+G$78),$A$21:$O$65,15,0))</f>
        <v>0</v>
      </c>
      <c r="H81" s="350" t="n">
        <f aca="false">IF(ISNA(VLOOKUP(($B81*10+H$78),$A$21:$O$65,15,0)),0,VLOOKUP(($B81*10+H$78),$A$21:$O$65,15,0))</f>
        <v>0</v>
      </c>
      <c r="I81" s="350" t="n">
        <f aca="false">IF(ISNA(VLOOKUP(($B81*10+I$78),$A$21:$O$65,15,0)),0,VLOOKUP(($B81*10+I$78),$A$21:$O$65,15,0))</f>
        <v>0</v>
      </c>
      <c r="J81" s="350" t="n">
        <f aca="false">IF(ISNA(VLOOKUP(($B81*10+J$78),$A$21:$O$65,15,0)),0,VLOOKUP(($B81*10+J$78),$A$21:$O$65,15,0))</f>
        <v>0</v>
      </c>
      <c r="K81" s="350" t="n">
        <f aca="false">IF(ISNA(VLOOKUP(($B81*10+K$78),$A$21:$O$65,15,0)),0,VLOOKUP(($B81*10+K$78),$A$21:$O$65,15,0))</f>
        <v>0</v>
      </c>
      <c r="L81" s="350" t="n">
        <f aca="false">IF(ISNA(VLOOKUP(($B81*10+L$78),$A$21:$O$65,15,0)),0,VLOOKUP(($B81*10+L$78),$A$21:$O$65,15,0))</f>
        <v>0</v>
      </c>
      <c r="M81" s="108"/>
      <c r="N81" s="168"/>
      <c r="O81" s="43"/>
      <c r="P81" s="327" t="n">
        <f aca="false">SQRT( SUM(Q81:Z81)/($K$1-1) )</f>
        <v>0</v>
      </c>
      <c r="Q81" s="327" t="n">
        <f aca="false">IF(OR($B81&gt;$K$1,Q$78&gt;$K$1),0,LN(INDEX($C$79:$L$88,$B81,Q$78)*INDEX($N$91:$N$100,Q$78)/INDEX($N$91:$N$100,$B81))^2)</f>
        <v>0</v>
      </c>
      <c r="R81" s="327" t="n">
        <f aca="false">IF(OR($B81&gt;$K$1,R$78&gt;$K$1),0,LN(INDEX($C$79:$L$88,$B81,R$78)*INDEX($N$91:$N$100,R$78)/INDEX($N$91:$N$100,$B81))^2)</f>
        <v>0</v>
      </c>
      <c r="S81" s="326" t="n">
        <f aca="false">IF(OR($B81&gt;$K$1,S$78&gt;$K$1),0,LN(INDEX($C$79:$L$88,$B81,S$78)*INDEX($N$91:$N$100,S$78)/INDEX($N$91:$N$100,$B81))^2)</f>
        <v>0</v>
      </c>
      <c r="T81" s="327" t="n">
        <f aca="false">IF(OR($B81&gt;$K$1,T$78&gt;$K$1),0,LN(INDEX($C$79:$L$88,$B81,T$78)*INDEX($N$91:$N$100,T$78)/INDEX($N$91:$N$100,$B81))^2)</f>
        <v>0</v>
      </c>
      <c r="U81" s="327" t="n">
        <f aca="false">IF(OR($B81&gt;$K$1,U$78&gt;$K$1),0,LN(INDEX($C$79:$L$88,$B81,U$78)*INDEX($N$91:$N$100,U$78)/INDEX($N$91:$N$100,$B81))^2)</f>
        <v>0</v>
      </c>
      <c r="V81" s="327" t="n">
        <f aca="false">IF(OR($B81&gt;$K$1,V$78&gt;$K$1),0,LN(INDEX($C$79:$L$88,$B81,V$78)*INDEX($N$91:$N$100,V$78)/INDEX($N$91:$N$100,$B81))^2)</f>
        <v>0</v>
      </c>
      <c r="W81" s="327" t="n">
        <f aca="false">IF(OR($B81&gt;$K$1,W$78&gt;$K$1),0,LN(INDEX($C$79:$L$88,$B81,W$78)*INDEX($N$91:$N$100,W$78)/INDEX($N$91:$N$100,$B81))^2)</f>
        <v>0</v>
      </c>
      <c r="X81" s="327" t="n">
        <f aca="false">IF(OR($B81&gt;$K$1,X$78&gt;$K$1),0,LN(INDEX($C$79:$L$88,$B81,X$78)*INDEX($N$91:$N$100,X$78)/INDEX($N$91:$N$100,$B81))^2)</f>
        <v>0</v>
      </c>
      <c r="Y81" s="327" t="n">
        <f aca="false">IF(OR($B81&gt;$K$1,Y$78&gt;$K$1),0,LN(INDEX($C$79:$L$88,$B81,Y$78)*INDEX($N$91:$N$100,Y$78)/INDEX($N$91:$N$100,$B81))^2)</f>
        <v>0</v>
      </c>
      <c r="Z81" s="327" t="n">
        <f aca="false">IF(OR($B81&gt;$K$1,Z$78&gt;$K$1),0,LN(INDEX($C$79:$L$88,$B81,Z$78)*INDEX($N$91:$N$100,Z$78)/INDEX($N$91:$N$100,$B81))^2)</f>
        <v>0</v>
      </c>
    </row>
    <row r="82" customFormat="false" ht="12.75" hidden="true" customHeight="true" outlineLevel="1" collapsed="false">
      <c r="A82" s="328"/>
      <c r="B82" s="236" t="n">
        <v>4</v>
      </c>
      <c r="C82" s="350" t="n">
        <f aca="false">IF(ISNA(VLOOKUP((10*C$78+$B82),$A$21:$O$65,15,0)),0,1/VLOOKUP((10*C$78+$B82),$A$21:$O$65,15,0))</f>
        <v>0</v>
      </c>
      <c r="D82" s="350" t="n">
        <f aca="false">IF(ISNA(VLOOKUP((10*D$78+$B82),$A$21:$O$65,15,0)),0,1/VLOOKUP((10*D$78+$B82),$A$21:$O$65,15,0))</f>
        <v>0</v>
      </c>
      <c r="E82" s="350" t="n">
        <f aca="false">IF(ISNA(VLOOKUP((10*E$78+$B82),$A$21:$O$65,15,0)),0,1/VLOOKUP((10*E$78+$B82),$A$21:$O$65,15,0))</f>
        <v>0</v>
      </c>
      <c r="F82" s="349" t="n">
        <v>1</v>
      </c>
      <c r="G82" s="350" t="n">
        <f aca="false">IF(ISNA(VLOOKUP(($B82*10+G$78),$A$21:$O$65,15,0)),0,VLOOKUP(($B82*10+G$78),$A$21:$O$65,15,0))</f>
        <v>0</v>
      </c>
      <c r="H82" s="350" t="n">
        <f aca="false">IF(ISNA(VLOOKUP(($B82*10+H$78),$A$21:$O$65,15,0)),0,VLOOKUP(($B82*10+H$78),$A$21:$O$65,15,0))</f>
        <v>0</v>
      </c>
      <c r="I82" s="350" t="n">
        <f aca="false">IF(ISNA(VLOOKUP(($B82*10+I$78),$A$21:$O$65,15,0)),0,VLOOKUP(($B82*10+I$78),$A$21:$O$65,15,0))</f>
        <v>0</v>
      </c>
      <c r="J82" s="350" t="n">
        <f aca="false">IF(ISNA(VLOOKUP(($B82*10+J$78),$A$21:$O$65,15,0)),0,VLOOKUP(($B82*10+J$78),$A$21:$O$65,15,0))</f>
        <v>0</v>
      </c>
      <c r="K82" s="350" t="n">
        <f aca="false">IF(ISNA(VLOOKUP(($B82*10+K$78),$A$21:$O$65,15,0)),0,VLOOKUP(($B82*10+K$78),$A$21:$O$65,15,0))</f>
        <v>0</v>
      </c>
      <c r="L82" s="350" t="n">
        <f aca="false">IF(ISNA(VLOOKUP(($B82*10+L$78),$A$21:$O$65,15,0)),0,VLOOKUP(($B82*10+L$78),$A$21:$O$65,15,0))</f>
        <v>0</v>
      </c>
      <c r="M82" s="108"/>
      <c r="N82" s="168"/>
      <c r="O82" s="43"/>
      <c r="P82" s="327" t="n">
        <f aca="false">SQRT( SUM(Q82:Z82)/($K$1-1) )</f>
        <v>0</v>
      </c>
      <c r="Q82" s="327" t="n">
        <f aca="false">IF(OR($B82&gt;$K$1,Q$78&gt;$K$1),0,LN(INDEX($C$79:$L$88,$B82,Q$78)*INDEX($N$91:$N$100,Q$78)/INDEX($N$91:$N$100,$B82))^2)</f>
        <v>0</v>
      </c>
      <c r="R82" s="327" t="n">
        <f aca="false">IF(OR($B82&gt;$K$1,R$78&gt;$K$1),0,LN(INDEX($C$79:$L$88,$B82,R$78)*INDEX($N$91:$N$100,R$78)/INDEX($N$91:$N$100,$B82))^2)</f>
        <v>0</v>
      </c>
      <c r="S82" s="327" t="n">
        <f aca="false">IF(OR($B82&gt;$K$1,S$78&gt;$K$1),0,LN(INDEX($C$79:$L$88,$B82,S$78)*INDEX($N$91:$N$100,S$78)/INDEX($N$91:$N$100,$B82))^2)</f>
        <v>0</v>
      </c>
      <c r="T82" s="326" t="n">
        <f aca="false">IF(OR($B82&gt;$K$1,T$78&gt;$K$1),0,LN(INDEX($C$79:$L$88,$B82,T$78)*INDEX($N$91:$N$100,T$78)/INDEX($N$91:$N$100,$B82))^2)</f>
        <v>0</v>
      </c>
      <c r="U82" s="327" t="n">
        <f aca="false">IF(OR($B82&gt;$K$1,U$78&gt;$K$1),0,LN(INDEX($C$79:$L$88,$B82,U$78)*INDEX($N$91:$N$100,U$78)/INDEX($N$91:$N$100,$B82))^2)</f>
        <v>0</v>
      </c>
      <c r="V82" s="327" t="n">
        <f aca="false">IF(OR($B82&gt;$K$1,V$78&gt;$K$1),0,LN(INDEX($C$79:$L$88,$B82,V$78)*INDEX($N$91:$N$100,V$78)/INDEX($N$91:$N$100,$B82))^2)</f>
        <v>0</v>
      </c>
      <c r="W82" s="327" t="n">
        <f aca="false">IF(OR($B82&gt;$K$1,W$78&gt;$K$1),0,LN(INDEX($C$79:$L$88,$B82,W$78)*INDEX($N$91:$N$100,W$78)/INDEX($N$91:$N$100,$B82))^2)</f>
        <v>0</v>
      </c>
      <c r="X82" s="327" t="n">
        <f aca="false">IF(OR($B82&gt;$K$1,X$78&gt;$K$1),0,LN(INDEX($C$79:$L$88,$B82,X$78)*INDEX($N$91:$N$100,X$78)/INDEX($N$91:$N$100,$B82))^2)</f>
        <v>0</v>
      </c>
      <c r="Y82" s="327" t="n">
        <f aca="false">IF(OR($B82&gt;$K$1,Y$78&gt;$K$1),0,LN(INDEX($C$79:$L$88,$B82,Y$78)*INDEX($N$91:$N$100,Y$78)/INDEX($N$91:$N$100,$B82))^2)</f>
        <v>0</v>
      </c>
      <c r="Z82" s="327" t="n">
        <f aca="false">IF(OR($B82&gt;$K$1,Z$78&gt;$K$1),0,LN(INDEX($C$79:$L$88,$B82,Z$78)*INDEX($N$91:$N$100,Z$78)/INDEX($N$91:$N$100,$B82))^2)</f>
        <v>0</v>
      </c>
    </row>
    <row r="83" customFormat="false" ht="12.75" hidden="true" customHeight="true" outlineLevel="1" collapsed="false">
      <c r="A83" s="328"/>
      <c r="B83" s="236" t="n">
        <v>5</v>
      </c>
      <c r="C83" s="350" t="n">
        <f aca="false">IF(ISNA(VLOOKUP((10*C$78+$B83),$A$21:$O$65,15,0)),0,1/VLOOKUP((10*C$78+$B83),$A$21:$O$65,15,0))</f>
        <v>0</v>
      </c>
      <c r="D83" s="350" t="n">
        <f aca="false">IF(ISNA(VLOOKUP((10*D$78+$B83),$A$21:$O$65,15,0)),0,1/VLOOKUP((10*D$78+$B83),$A$21:$O$65,15,0))</f>
        <v>0</v>
      </c>
      <c r="E83" s="350" t="n">
        <f aca="false">IF(ISNA(VLOOKUP((10*E$78+$B83),$A$21:$O$65,15,0)),0,1/VLOOKUP((10*E$78+$B83),$A$21:$O$65,15,0))</f>
        <v>0</v>
      </c>
      <c r="F83" s="350" t="n">
        <f aca="false">IF(ISNA(VLOOKUP((10*F$78+$B83),$A$21:$O$65,15,0)),0,1/VLOOKUP((10*F$78+$B83),$A$21:$O$65,15,0))</f>
        <v>0</v>
      </c>
      <c r="G83" s="349" t="n">
        <v>1</v>
      </c>
      <c r="H83" s="350" t="n">
        <f aca="false">IF(ISNA(VLOOKUP(($B83*10+H$78),$A$21:$O$65,15,0)),0,VLOOKUP(($B83*10+H$78),$A$21:$O$65,15,0))</f>
        <v>0</v>
      </c>
      <c r="I83" s="350" t="n">
        <f aca="false">IF(ISNA(VLOOKUP(($B83*10+I$78),$A$21:$O$65,15,0)),0,VLOOKUP(($B83*10+I$78),$A$21:$O$65,15,0))</f>
        <v>0</v>
      </c>
      <c r="J83" s="350" t="n">
        <f aca="false">IF(ISNA(VLOOKUP(($B83*10+J$78),$A$21:$O$65,15,0)),0,VLOOKUP(($B83*10+J$78),$A$21:$O$65,15,0))</f>
        <v>0</v>
      </c>
      <c r="K83" s="350" t="n">
        <f aca="false">IF(ISNA(VLOOKUP(($B83*10+K$78),$A$21:$O$65,15,0)),0,VLOOKUP(($B83*10+K$78),$A$21:$O$65,15,0))</f>
        <v>0</v>
      </c>
      <c r="L83" s="350" t="n">
        <f aca="false">IF(ISNA(VLOOKUP(($B83*10+L$78),$A$21:$O$65,15,0)),0,VLOOKUP(($B83*10+L$78),$A$21:$O$65,15,0))</f>
        <v>0</v>
      </c>
      <c r="M83" s="108"/>
      <c r="N83" s="168"/>
      <c r="O83" s="43"/>
      <c r="P83" s="327" t="n">
        <f aca="false">SQRT( SUM(Q83:Z83)/($K$1-1) )</f>
        <v>0</v>
      </c>
      <c r="Q83" s="327" t="n">
        <f aca="false">IF(OR($B83&gt;$K$1,Q$78&gt;$K$1),0,LN(INDEX($C$79:$L$88,$B83,Q$78)*INDEX($N$91:$N$100,Q$78)/INDEX($N$91:$N$100,$B83))^2)</f>
        <v>0</v>
      </c>
      <c r="R83" s="327" t="n">
        <f aca="false">IF(OR($B83&gt;$K$1,R$78&gt;$K$1),0,LN(INDEX($C$79:$L$88,$B83,R$78)*INDEX($N$91:$N$100,R$78)/INDEX($N$91:$N$100,$B83))^2)</f>
        <v>0</v>
      </c>
      <c r="S83" s="327" t="n">
        <f aca="false">IF(OR($B83&gt;$K$1,S$78&gt;$K$1),0,LN(INDEX($C$79:$L$88,$B83,S$78)*INDEX($N$91:$N$100,S$78)/INDEX($N$91:$N$100,$B83))^2)</f>
        <v>0</v>
      </c>
      <c r="T83" s="327" t="n">
        <f aca="false">IF(OR($B83&gt;$K$1,T$78&gt;$K$1),0,LN(INDEX($C$79:$L$88,$B83,T$78)*INDEX($N$91:$N$100,T$78)/INDEX($N$91:$N$100,$B83))^2)</f>
        <v>0</v>
      </c>
      <c r="U83" s="326" t="n">
        <f aca="false">IF(OR($B83&gt;$K$1,U$78&gt;$K$1),0,LN(INDEX($C$79:$L$88,$B83,U$78)*INDEX($N$91:$N$100,U$78)/INDEX($N$91:$N$100,$B83))^2)</f>
        <v>0</v>
      </c>
      <c r="V83" s="327" t="n">
        <f aca="false">IF(OR($B83&gt;$K$1,V$78&gt;$K$1),0,LN(INDEX($C$79:$L$88,$B83,V$78)*INDEX($N$91:$N$100,V$78)/INDEX($N$91:$N$100,$B83))^2)</f>
        <v>0</v>
      </c>
      <c r="W83" s="327" t="n">
        <f aca="false">IF(OR($B83&gt;$K$1,W$78&gt;$K$1),0,LN(INDEX($C$79:$L$88,$B83,W$78)*INDEX($N$91:$N$100,W$78)/INDEX($N$91:$N$100,$B83))^2)</f>
        <v>0</v>
      </c>
      <c r="X83" s="327" t="n">
        <f aca="false">IF(OR($B83&gt;$K$1,X$78&gt;$K$1),0,LN(INDEX($C$79:$L$88,$B83,X$78)*INDEX($N$91:$N$100,X$78)/INDEX($N$91:$N$100,$B83))^2)</f>
        <v>0</v>
      </c>
      <c r="Y83" s="327" t="n">
        <f aca="false">IF(OR($B83&gt;$K$1,Y$78&gt;$K$1),0,LN(INDEX($C$79:$L$88,$B83,Y$78)*INDEX($N$91:$N$100,Y$78)/INDEX($N$91:$N$100,$B83))^2)</f>
        <v>0</v>
      </c>
      <c r="Z83" s="327" t="n">
        <f aca="false">IF(OR($B83&gt;$K$1,Z$78&gt;$K$1),0,LN(INDEX($C$79:$L$88,$B83,Z$78)*INDEX($N$91:$N$100,Z$78)/INDEX($N$91:$N$100,$B83))^2)</f>
        <v>0</v>
      </c>
    </row>
    <row r="84" customFormat="false" ht="12.75" hidden="true" customHeight="true" outlineLevel="1" collapsed="false">
      <c r="A84" s="328"/>
      <c r="B84" s="236" t="n">
        <v>6</v>
      </c>
      <c r="C84" s="350" t="n">
        <f aca="false">IF(ISNA(VLOOKUP((10*C$78+$B84),$A$21:$O$65,15,0)),0,1/VLOOKUP((10*C$78+$B84),$A$21:$O$65,15,0))</f>
        <v>0</v>
      </c>
      <c r="D84" s="350" t="n">
        <f aca="false">IF(ISNA(VLOOKUP((10*D$78+$B84),$A$21:$O$65,15,0)),0,1/VLOOKUP((10*D$78+$B84),$A$21:$O$65,15,0))</f>
        <v>0</v>
      </c>
      <c r="E84" s="350" t="n">
        <f aca="false">IF(ISNA(VLOOKUP((10*E$78+$B84),$A$21:$O$65,15,0)),0,1/VLOOKUP((10*E$78+$B84),$A$21:$O$65,15,0))</f>
        <v>0</v>
      </c>
      <c r="F84" s="350" t="n">
        <f aca="false">IF(ISNA(VLOOKUP((10*F$78+$B84),$A$21:$O$65,15,0)),0,1/VLOOKUP((10*F$78+$B84),$A$21:$O$65,15,0))</f>
        <v>0</v>
      </c>
      <c r="G84" s="350" t="n">
        <f aca="false">IF(ISNA(VLOOKUP((10*G$78+$B84),$A$21:$O$65,15,0)),0,1/VLOOKUP((10*G$78+$B84),$A$21:$O$65,15,0))</f>
        <v>0</v>
      </c>
      <c r="H84" s="349" t="n">
        <v>1</v>
      </c>
      <c r="I84" s="350" t="n">
        <f aca="false">IF(ISNA(VLOOKUP(($B84*10+I$78),$A$21:$O$65,15,0)),0,VLOOKUP(($B84*10+I$78),$A$21:$O$65,15,0))</f>
        <v>0</v>
      </c>
      <c r="J84" s="350" t="n">
        <f aca="false">IF(ISNA(VLOOKUP(($B84*10+J$78),$A$21:$O$65,15,0)),0,VLOOKUP(($B84*10+J$78),$A$21:$O$65,15,0))</f>
        <v>0</v>
      </c>
      <c r="K84" s="350" t="n">
        <f aca="false">IF(ISNA(VLOOKUP(($B84*10+K$78),$A$21:$O$65,15,0)),0,VLOOKUP(($B84*10+K$78),$A$21:$O$65,15,0))</f>
        <v>0</v>
      </c>
      <c r="L84" s="350" t="n">
        <f aca="false">IF(ISNA(VLOOKUP(($B84*10+L$78),$A$21:$O$65,15,0)),0,VLOOKUP(($B84*10+L$78),$A$21:$O$65,15,0))</f>
        <v>0</v>
      </c>
      <c r="M84" s="108"/>
      <c r="N84" s="168"/>
      <c r="O84" s="43"/>
      <c r="P84" s="327" t="n">
        <f aca="false">SQRT( SUM(Q84:Z84)/($K$1-1) )</f>
        <v>0</v>
      </c>
      <c r="Q84" s="327" t="n">
        <f aca="false">IF(OR($B84&gt;$K$1,Q$78&gt;$K$1),0,LN(INDEX($C$79:$L$88,$B84,Q$78)*INDEX($N$91:$N$100,Q$78)/INDEX($N$91:$N$100,$B84))^2)</f>
        <v>0</v>
      </c>
      <c r="R84" s="327" t="n">
        <f aca="false">IF(OR($B84&gt;$K$1,R$78&gt;$K$1),0,LN(INDEX($C$79:$L$88,$B84,R$78)*INDEX($N$91:$N$100,R$78)/INDEX($N$91:$N$100,$B84))^2)</f>
        <v>0</v>
      </c>
      <c r="S84" s="327" t="n">
        <f aca="false">IF(OR($B84&gt;$K$1,S$78&gt;$K$1),0,LN(INDEX($C$79:$L$88,$B84,S$78)*INDEX($N$91:$N$100,S$78)/INDEX($N$91:$N$100,$B84))^2)</f>
        <v>0</v>
      </c>
      <c r="T84" s="327" t="n">
        <f aca="false">IF(OR($B84&gt;$K$1,T$78&gt;$K$1),0,LN(INDEX($C$79:$L$88,$B84,T$78)*INDEX($N$91:$N$100,T$78)/INDEX($N$91:$N$100,$B84))^2)</f>
        <v>0</v>
      </c>
      <c r="U84" s="327" t="n">
        <f aca="false">IF(OR($B84&gt;$K$1,U$78&gt;$K$1),0,LN(INDEX($C$79:$L$88,$B84,U$78)*INDEX($N$91:$N$100,U$78)/INDEX($N$91:$N$100,$B84))^2)</f>
        <v>0</v>
      </c>
      <c r="V84" s="326" t="n">
        <f aca="false">IF(OR($B84&gt;$K$1,V$78&gt;$K$1),0,LN(INDEX($C$79:$L$88,$B84,V$78)*INDEX($N$91:$N$100,V$78)/INDEX($N$91:$N$100,$B84))^2)</f>
        <v>0</v>
      </c>
      <c r="W84" s="327" t="n">
        <f aca="false">IF(OR($B84&gt;$K$1,W$78&gt;$K$1),0,LN(INDEX($C$79:$L$88,$B84,W$78)*INDEX($N$91:$N$100,W$78)/INDEX($N$91:$N$100,$B84))^2)</f>
        <v>0</v>
      </c>
      <c r="X84" s="327" t="n">
        <f aca="false">IF(OR($B84&gt;$K$1,X$78&gt;$K$1),0,LN(INDEX($C$79:$L$88,$B84,X$78)*INDEX($N$91:$N$100,X$78)/INDEX($N$91:$N$100,$B84))^2)</f>
        <v>0</v>
      </c>
      <c r="Y84" s="327" t="n">
        <f aca="false">IF(OR($B84&gt;$K$1,Y$78&gt;$K$1),0,LN(INDEX($C$79:$L$88,$B84,Y$78)*INDEX($N$91:$N$100,Y$78)/INDEX($N$91:$N$100,$B84))^2)</f>
        <v>0</v>
      </c>
      <c r="Z84" s="327" t="n">
        <f aca="false">IF(OR($B84&gt;$K$1,Z$78&gt;$K$1),0,LN(INDEX($C$79:$L$88,$B84,Z$78)*INDEX($N$91:$N$100,Z$78)/INDEX($N$91:$N$100,$B84))^2)</f>
        <v>0</v>
      </c>
    </row>
    <row r="85" customFormat="false" ht="12.75" hidden="true" customHeight="true" outlineLevel="1" collapsed="false">
      <c r="A85" s="328"/>
      <c r="B85" s="236" t="n">
        <v>7</v>
      </c>
      <c r="C85" s="350" t="n">
        <f aca="false">IF(ISNA(VLOOKUP((10*C$78+$B85),$A$21:$O$65,15,0)),0,1/VLOOKUP((10*C$78+$B85),$A$21:$O$65,15,0))</f>
        <v>0</v>
      </c>
      <c r="D85" s="350" t="n">
        <f aca="false">IF(ISNA(VLOOKUP((10*D$78+$B85),$A$21:$O$65,15,0)),0,1/VLOOKUP((10*D$78+$B85),$A$21:$O$65,15,0))</f>
        <v>0</v>
      </c>
      <c r="E85" s="350" t="n">
        <f aca="false">IF(ISNA(VLOOKUP((10*E$78+$B85),$A$21:$O$65,15,0)),0,1/VLOOKUP((10*E$78+$B85),$A$21:$O$65,15,0))</f>
        <v>0</v>
      </c>
      <c r="F85" s="350" t="n">
        <f aca="false">IF(ISNA(VLOOKUP((10*F$78+$B85),$A$21:$O$65,15,0)),0,1/VLOOKUP((10*F$78+$B85),$A$21:$O$65,15,0))</f>
        <v>0</v>
      </c>
      <c r="G85" s="350" t="n">
        <f aca="false">IF(ISNA(VLOOKUP((10*G$78+$B85),$A$21:$O$65,15,0)),0,1/VLOOKUP((10*G$78+$B85),$A$21:$O$65,15,0))</f>
        <v>0</v>
      </c>
      <c r="H85" s="350" t="n">
        <f aca="false">IF(ISNA(VLOOKUP((10*H$78+$B85),$A$21:$O$65,15,0)),0,1/VLOOKUP((10*H$78+$B85),$A$21:$O$65,15,0))</f>
        <v>0</v>
      </c>
      <c r="I85" s="349" t="n">
        <v>1</v>
      </c>
      <c r="J85" s="350" t="n">
        <f aca="false">IF(ISNA(VLOOKUP(($B85*10+J$78),$A$21:$O$65,15,0)),0,VLOOKUP(($B85*10+J$78),$A$21:$O$65,15,0))</f>
        <v>0</v>
      </c>
      <c r="K85" s="350" t="n">
        <f aca="false">IF(ISNA(VLOOKUP(($B85*10+K$78),$A$21:$O$65,15,0)),0,VLOOKUP(($B85*10+K$78),$A$21:$O$65,15,0))</f>
        <v>0</v>
      </c>
      <c r="L85" s="350" t="n">
        <f aca="false">IF(ISNA(VLOOKUP(($B85*10+L$78),$A$21:$O$65,15,0)),0,VLOOKUP(($B85*10+L$78),$A$21:$O$65,15,0))</f>
        <v>0</v>
      </c>
      <c r="M85" s="108"/>
      <c r="N85" s="168"/>
      <c r="O85" s="329"/>
      <c r="P85" s="327" t="n">
        <f aca="false">SQRT( SUM(Q85:Z85)/($K$1-1) )</f>
        <v>0</v>
      </c>
      <c r="Q85" s="327" t="n">
        <f aca="false">IF(OR($B85&gt;$K$1,Q$78&gt;$K$1),0,LN(INDEX($C$79:$L$88,$B85,Q$78)*INDEX($N$91:$N$100,Q$78)/INDEX($N$91:$N$100,$B85))^2)</f>
        <v>0</v>
      </c>
      <c r="R85" s="327" t="n">
        <f aca="false">IF(OR($B85&gt;$K$1,R$78&gt;$K$1),0,LN(INDEX($C$79:$L$88,$B85,R$78)*INDEX($N$91:$N$100,R$78)/INDEX($N$91:$N$100,$B85))^2)</f>
        <v>0</v>
      </c>
      <c r="S85" s="327" t="n">
        <f aca="false">IF(OR($B85&gt;$K$1,S$78&gt;$K$1),0,LN(INDEX($C$79:$L$88,$B85,S$78)*INDEX($N$91:$N$100,S$78)/INDEX($N$91:$N$100,$B85))^2)</f>
        <v>0</v>
      </c>
      <c r="T85" s="327" t="n">
        <f aca="false">IF(OR($B85&gt;$K$1,T$78&gt;$K$1),0,LN(INDEX($C$79:$L$88,$B85,T$78)*INDEX($N$91:$N$100,T$78)/INDEX($N$91:$N$100,$B85))^2)</f>
        <v>0</v>
      </c>
      <c r="U85" s="327" t="n">
        <f aca="false">IF(OR($B85&gt;$K$1,U$78&gt;$K$1),0,LN(INDEX($C$79:$L$88,$B85,U$78)*INDEX($N$91:$N$100,U$78)/INDEX($N$91:$N$100,$B85))^2)</f>
        <v>0</v>
      </c>
      <c r="V85" s="327" t="n">
        <f aca="false">IF(OR($B85&gt;$K$1,V$78&gt;$K$1),0,LN(INDEX($C$79:$L$88,$B85,V$78)*INDEX($N$91:$N$100,V$78)/INDEX($N$91:$N$100,$B85))^2)</f>
        <v>0</v>
      </c>
      <c r="W85" s="326" t="n">
        <f aca="false">IF(OR($B85&gt;$K$1,W$78&gt;$K$1),0,LN(INDEX($C$79:$L$88,$B85,W$78)*INDEX($N$91:$N$100,W$78)/INDEX($N$91:$N$100,$B85))^2)</f>
        <v>0</v>
      </c>
      <c r="X85" s="327" t="n">
        <f aca="false">IF(OR($B85&gt;$K$1,X$78&gt;$K$1),0,LN(INDEX($C$79:$L$88,$B85,X$78)*INDEX($N$91:$N$100,X$78)/INDEX($N$91:$N$100,$B85))^2)</f>
        <v>0</v>
      </c>
      <c r="Y85" s="327" t="n">
        <f aca="false">IF(OR($B85&gt;$K$1,Y$78&gt;$K$1),0,LN(INDEX($C$79:$L$88,$B85,Y$78)*INDEX($N$91:$N$100,Y$78)/INDEX($N$91:$N$100,$B85))^2)</f>
        <v>0</v>
      </c>
      <c r="Z85" s="327" t="n">
        <f aca="false">IF(OR($B85&gt;$K$1,Z$78&gt;$K$1),0,LN(INDEX($C$79:$L$88,$B85,Z$78)*INDEX($N$91:$N$100,Z$78)/INDEX($N$91:$N$100,$B85))^2)</f>
        <v>0</v>
      </c>
    </row>
    <row r="86" customFormat="false" ht="12.75" hidden="true" customHeight="true" outlineLevel="1" collapsed="false">
      <c r="A86" s="328"/>
      <c r="B86" s="236" t="n">
        <v>8</v>
      </c>
      <c r="C86" s="350" t="n">
        <f aca="false">IF(ISNA(VLOOKUP((10*C$78+$B86),$A$21:$O$65,15,0)),0,1/VLOOKUP((10*C$78+$B86),$A$21:$O$65,15,0))</f>
        <v>0</v>
      </c>
      <c r="D86" s="350" t="n">
        <f aca="false">IF(ISNA(VLOOKUP((10*D$78+$B86),$A$21:$O$65,15,0)),0,1/VLOOKUP((10*D$78+$B86),$A$21:$O$65,15,0))</f>
        <v>0</v>
      </c>
      <c r="E86" s="350" t="n">
        <f aca="false">IF(ISNA(VLOOKUP((10*E$78+$B86),$A$21:$O$65,15,0)),0,1/VLOOKUP((10*E$78+$B86),$A$21:$O$65,15,0))</f>
        <v>0</v>
      </c>
      <c r="F86" s="350" t="n">
        <f aca="false">IF(ISNA(VLOOKUP((10*F$78+$B86),$A$21:$O$65,15,0)),0,1/VLOOKUP((10*F$78+$B86),$A$21:$O$65,15,0))</f>
        <v>0</v>
      </c>
      <c r="G86" s="350" t="n">
        <f aca="false">IF(ISNA(VLOOKUP((10*G$78+$B86),$A$21:$O$65,15,0)),0,1/VLOOKUP((10*G$78+$B86),$A$21:$O$65,15,0))</f>
        <v>0</v>
      </c>
      <c r="H86" s="350" t="n">
        <f aca="false">IF(ISNA(VLOOKUP((10*H$78+$B86),$A$21:$O$65,15,0)),0,1/VLOOKUP((10*H$78+$B86),$A$21:$O$65,15,0))</f>
        <v>0</v>
      </c>
      <c r="I86" s="350" t="n">
        <f aca="false">IF(ISNA(VLOOKUP((10*I$78+$B86),$A$21:$O$65,15,0)),0,1/VLOOKUP((10*I$78+$B86),$A$21:$O$65,15,0))</f>
        <v>0</v>
      </c>
      <c r="J86" s="349" t="n">
        <v>1</v>
      </c>
      <c r="K86" s="350" t="n">
        <f aca="false">IF(ISNA(VLOOKUP(($B86*10+K$78),$A$21:$O$65,15,0)),0,VLOOKUP(($B86*10+K$78),$A$21:$O$65,15,0))</f>
        <v>0</v>
      </c>
      <c r="L86" s="350" t="n">
        <f aca="false">IF(ISNA(VLOOKUP(($B86*10+L$78),$A$21:$O$65,15,0)),0,VLOOKUP(($B86*10+L$78),$A$21:$O$65,15,0))</f>
        <v>0</v>
      </c>
      <c r="M86" s="108"/>
      <c r="N86" s="168"/>
      <c r="O86" s="43"/>
      <c r="P86" s="327" t="n">
        <f aca="false">SQRT( SUM(Q86:Z86)/($K$1-1) )</f>
        <v>0</v>
      </c>
      <c r="Q86" s="327" t="n">
        <f aca="false">IF(OR($B86&gt;$K$1,Q$78&gt;$K$1),0,LN(INDEX($C$79:$L$88,$B86,Q$78)*INDEX($N$91:$N$100,Q$78)/INDEX($N$91:$N$100,$B86))^2)</f>
        <v>0</v>
      </c>
      <c r="R86" s="327" t="n">
        <f aca="false">IF(OR($B86&gt;$K$1,R$78&gt;$K$1),0,LN(INDEX($C$79:$L$88,$B86,R$78)*INDEX($N$91:$N$100,R$78)/INDEX($N$91:$N$100,$B86))^2)</f>
        <v>0</v>
      </c>
      <c r="S86" s="327" t="n">
        <f aca="false">IF(OR($B86&gt;$K$1,S$78&gt;$K$1),0,LN(INDEX($C$79:$L$88,$B86,S$78)*INDEX($N$91:$N$100,S$78)/INDEX($N$91:$N$100,$B86))^2)</f>
        <v>0</v>
      </c>
      <c r="T86" s="327" t="n">
        <f aca="false">IF(OR($B86&gt;$K$1,T$78&gt;$K$1),0,LN(INDEX($C$79:$L$88,$B86,T$78)*INDEX($N$91:$N$100,T$78)/INDEX($N$91:$N$100,$B86))^2)</f>
        <v>0</v>
      </c>
      <c r="U86" s="327" t="n">
        <f aca="false">IF(OR($B86&gt;$K$1,U$78&gt;$K$1),0,LN(INDEX($C$79:$L$88,$B86,U$78)*INDEX($N$91:$N$100,U$78)/INDEX($N$91:$N$100,$B86))^2)</f>
        <v>0</v>
      </c>
      <c r="V86" s="327" t="n">
        <f aca="false">IF(OR($B86&gt;$K$1,V$78&gt;$K$1),0,LN(INDEX($C$79:$L$88,$B86,V$78)*INDEX($N$91:$N$100,V$78)/INDEX($N$91:$N$100,$B86))^2)</f>
        <v>0</v>
      </c>
      <c r="W86" s="327" t="n">
        <f aca="false">IF(OR($B86&gt;$K$1,W$78&gt;$K$1),0,LN(INDEX($C$79:$L$88,$B86,W$78)*INDEX($N$91:$N$100,W$78)/INDEX($N$91:$N$100,$B86))^2)</f>
        <v>0</v>
      </c>
      <c r="X86" s="326" t="n">
        <f aca="false">IF(OR($B86&gt;$K$1,X$78&gt;$K$1),0,LN(INDEX($C$79:$L$88,$B86,X$78)*INDEX($N$91:$N$100,X$78)/INDEX($N$91:$N$100,$B86))^2)</f>
        <v>0</v>
      </c>
      <c r="Y86" s="327" t="n">
        <f aca="false">IF(OR($B86&gt;$K$1,Y$78&gt;$K$1),0,LN(INDEX($C$79:$L$88,$B86,Y$78)*INDEX($N$91:$N$100,Y$78)/INDEX($N$91:$N$100,$B86))^2)</f>
        <v>0</v>
      </c>
      <c r="Z86" s="327" t="n">
        <f aca="false">IF(OR($B86&gt;$K$1,Z$78&gt;$K$1),0,LN(INDEX($C$79:$L$88,$B86,Z$78)*INDEX($N$91:$N$100,Z$78)/INDEX($N$91:$N$100,$B86))^2)</f>
        <v>0</v>
      </c>
    </row>
    <row r="87" customFormat="false" ht="12.75" hidden="true" customHeight="true" outlineLevel="1" collapsed="false">
      <c r="A87" s="177"/>
      <c r="B87" s="236" t="n">
        <v>9</v>
      </c>
      <c r="C87" s="350" t="n">
        <f aca="false">IF(ISNA(VLOOKUP((10*C$78+$B87),$A$21:$O$65,15,0)),0,1/VLOOKUP((10*C$78+$B87),$A$21:$O$65,15,0))</f>
        <v>0</v>
      </c>
      <c r="D87" s="350" t="n">
        <f aca="false">IF(ISNA(VLOOKUP((10*D$78+$B87),$A$21:$O$65,15,0)),0,1/VLOOKUP((10*D$78+$B87),$A$21:$O$65,15,0))</f>
        <v>0</v>
      </c>
      <c r="E87" s="350" t="n">
        <f aca="false">IF(ISNA(VLOOKUP((10*E$78+$B87),$A$21:$O$65,15,0)),0,1/VLOOKUP((10*E$78+$B87),$A$21:$O$65,15,0))</f>
        <v>0</v>
      </c>
      <c r="F87" s="350" t="n">
        <f aca="false">IF(ISNA(VLOOKUP((10*F$78+$B87),$A$21:$O$65,15,0)),0,1/VLOOKUP((10*F$78+$B87),$A$21:$O$65,15,0))</f>
        <v>0</v>
      </c>
      <c r="G87" s="350" t="n">
        <f aca="false">IF(ISNA(VLOOKUP((10*G$78+$B87),$A$21:$O$65,15,0)),0,1/VLOOKUP((10*G$78+$B87),$A$21:$O$65,15,0))</f>
        <v>0</v>
      </c>
      <c r="H87" s="350" t="n">
        <f aca="false">IF(ISNA(VLOOKUP((10*H$78+$B87),$A$21:$O$65,15,0)),0,1/VLOOKUP((10*H$78+$B87),$A$21:$O$65,15,0))</f>
        <v>0</v>
      </c>
      <c r="I87" s="350" t="n">
        <f aca="false">IF(ISNA(VLOOKUP((10*I$78+$B87),$A$21:$O$65,15,0)),0,1/VLOOKUP((10*I$78+$B87),$A$21:$O$65,15,0))</f>
        <v>0</v>
      </c>
      <c r="J87" s="350" t="n">
        <f aca="false">IF(ISNA(VLOOKUP((10*J$78+$B87),$A$21:$O$65,15,0)),0,1/VLOOKUP((10*J$78+$B87),$A$21:$O$65,15,0))</f>
        <v>0</v>
      </c>
      <c r="K87" s="349" t="n">
        <v>1</v>
      </c>
      <c r="L87" s="350" t="n">
        <f aca="false">IF(ISNA(VLOOKUP(($B87*10+L$78),$A$21:$O$65,15,0)),0,VLOOKUP(($B87*10+L$78),$A$21:$O$65,15,0))</f>
        <v>0</v>
      </c>
      <c r="M87" s="108"/>
      <c r="N87" s="168"/>
      <c r="P87" s="327" t="n">
        <f aca="false">SQRT( SUM(Q87:Z87)/($K$1-1) )</f>
        <v>0</v>
      </c>
      <c r="Q87" s="327" t="n">
        <f aca="false">IF(OR($B87&gt;$K$1,Q$78&gt;$K$1),0,LN(INDEX($C$79:$L$88,$B87,Q$78)*INDEX($N$91:$N$100,Q$78)/INDEX($N$91:$N$100,$B87))^2)</f>
        <v>0</v>
      </c>
      <c r="R87" s="327" t="n">
        <f aca="false">IF(OR($B87&gt;$K$1,R$78&gt;$K$1),0,LN(INDEX($C$79:$L$88,$B87,R$78)*INDEX($N$91:$N$100,R$78)/INDEX($N$91:$N$100,$B87))^2)</f>
        <v>0</v>
      </c>
      <c r="S87" s="327" t="n">
        <f aca="false">IF(OR($B87&gt;$K$1,S$78&gt;$K$1),0,LN(INDEX($C$79:$L$88,$B87,S$78)*INDEX($N$91:$N$100,S$78)/INDEX($N$91:$N$100,$B87))^2)</f>
        <v>0</v>
      </c>
      <c r="T87" s="327" t="n">
        <f aca="false">IF(OR($B87&gt;$K$1,T$78&gt;$K$1),0,LN(INDEX($C$79:$L$88,$B87,T$78)*INDEX($N$91:$N$100,T$78)/INDEX($N$91:$N$100,$B87))^2)</f>
        <v>0</v>
      </c>
      <c r="U87" s="327" t="n">
        <f aca="false">IF(OR($B87&gt;$K$1,U$78&gt;$K$1),0,LN(INDEX($C$79:$L$88,$B87,U$78)*INDEX($N$91:$N$100,U$78)/INDEX($N$91:$N$100,$B87))^2)</f>
        <v>0</v>
      </c>
      <c r="V87" s="327" t="n">
        <f aca="false">IF(OR($B87&gt;$K$1,V$78&gt;$K$1),0,LN(INDEX($C$79:$L$88,$B87,V$78)*INDEX($N$91:$N$100,V$78)/INDEX($N$91:$N$100,$B87))^2)</f>
        <v>0</v>
      </c>
      <c r="W87" s="327" t="n">
        <f aca="false">IF(OR($B87&gt;$K$1,W$78&gt;$K$1),0,LN(INDEX($C$79:$L$88,$B87,W$78)*INDEX($N$91:$N$100,W$78)/INDEX($N$91:$N$100,$B87))^2)</f>
        <v>0</v>
      </c>
      <c r="X87" s="327" t="n">
        <f aca="false">IF(OR($B87&gt;$K$1,X$78&gt;$K$1),0,LN(INDEX($C$79:$L$88,$B87,X$78)*INDEX($N$91:$N$100,X$78)/INDEX($N$91:$N$100,$B87))^2)</f>
        <v>0</v>
      </c>
      <c r="Y87" s="326" t="n">
        <f aca="false">IF(OR($B87&gt;$K$1,Y$78&gt;$K$1),0,LN(INDEX($C$79:$L$88,$B87,Y$78)*INDEX($N$91:$N$100,Y$78)/INDEX($N$91:$N$100,$B87))^2)</f>
        <v>0</v>
      </c>
      <c r="Z87" s="138" t="n">
        <f aca="false">IF(OR($B87&gt;$K$1,Z$78&gt;$K$1),0,LN(INDEX($C$79:$L$88,$B87,Z$78)*INDEX($N$91:$N$100,Z$78)/INDEX($N$91:$N$100,$B87))^2)</f>
        <v>0</v>
      </c>
    </row>
    <row r="88" customFormat="false" ht="12.75" hidden="true" customHeight="false" outlineLevel="1" collapsed="false">
      <c r="A88" s="177"/>
      <c r="B88" s="236" t="n">
        <v>10</v>
      </c>
      <c r="C88" s="351" t="n">
        <f aca="false">IF(ISNA(VLOOKUP((10*C$78+$B88),$A$21:$O$65,15,0)),0,1/VLOOKUP((10*C$78+$B88),$A$21:$O$65,15,0))</f>
        <v>0</v>
      </c>
      <c r="D88" s="351" t="n">
        <f aca="false">IF(ISNA(VLOOKUP((10*D$78+$B88),$A$21:$O$65,15,0)),0,1/VLOOKUP((10*D$78+$B88),$A$21:$O$65,15,0))</f>
        <v>0</v>
      </c>
      <c r="E88" s="351" t="n">
        <f aca="false">IF(ISNA(VLOOKUP((10*E$78+$B88),$A$21:$O$65,15,0)),0,1/VLOOKUP((10*E$78+$B88),$A$21:$O$65,15,0))</f>
        <v>0</v>
      </c>
      <c r="F88" s="351" t="n">
        <f aca="false">IF(ISNA(VLOOKUP((10*F$78+$B88),$A$21:$O$65,15,0)),0,1/VLOOKUP((10*F$78+$B88),$A$21:$O$65,15,0))</f>
        <v>0</v>
      </c>
      <c r="G88" s="351" t="n">
        <f aca="false">IF(ISNA(VLOOKUP((10*G$78+$B88),$A$21:$O$65,15,0)),0,1/VLOOKUP((10*G$78+$B88),$A$21:$O$65,15,0))</f>
        <v>0</v>
      </c>
      <c r="H88" s="351" t="n">
        <f aca="false">IF(ISNA(VLOOKUP((10*H$78+$B88),$A$21:$O$65,15,0)),0,1/VLOOKUP((10*H$78+$B88),$A$21:$O$65,15,0))</f>
        <v>0</v>
      </c>
      <c r="I88" s="351" t="n">
        <f aca="false">IF(ISNA(VLOOKUP((10*I$78+$B88),$A$21:$O$65,15,0)),0,1/VLOOKUP((10*I$78+$B88),$A$21:$O$65,15,0))</f>
        <v>0</v>
      </c>
      <c r="J88" s="351" t="n">
        <f aca="false">IF(ISNA(VLOOKUP((10*J$78+$B88),$A$21:$O$65,15,0)),0,1/VLOOKUP((10*J$78+$B88),$A$21:$O$65,15,0))</f>
        <v>0</v>
      </c>
      <c r="K88" s="351" t="n">
        <f aca="false">IF(ISNA(VLOOKUP((10*K$78+$B88),$A$21:$O$65,15,0)),0,1/VLOOKUP((10*K$78+$B88),$A$21:$O$65,15,0))</f>
        <v>0</v>
      </c>
      <c r="L88" s="352" t="n">
        <v>1</v>
      </c>
      <c r="M88" s="108"/>
      <c r="N88" s="168"/>
      <c r="P88" s="327" t="n">
        <f aca="false">SQRT( SUM(Q88:Z88)/($K$1-1) )</f>
        <v>0</v>
      </c>
      <c r="Q88" s="327" t="n">
        <f aca="false">IF(OR($B88&gt;$K$1,Q$78&gt;$K$1),0,LN(INDEX($C$79:$L$88,$B88,Q$78)*INDEX($N$91:$N$100,Q$78)/INDEX($N$91:$N$100,$B88))^2)</f>
        <v>0</v>
      </c>
      <c r="R88" s="327" t="n">
        <f aca="false">IF(OR($B88&gt;$K$1,R$78&gt;$K$1),0,LN(INDEX($C$79:$L$88,$B88,R$78)*INDEX($N$91:$N$100,R$78)/INDEX($N$91:$N$100,$B88))^2)</f>
        <v>0</v>
      </c>
      <c r="S88" s="327" t="n">
        <f aca="false">IF(OR($B88&gt;$K$1,S$78&gt;$K$1),0,LN(INDEX($C$79:$L$88,$B88,S$78)*INDEX($N$91:$N$100,S$78)/INDEX($N$91:$N$100,$B88))^2)</f>
        <v>0</v>
      </c>
      <c r="T88" s="327" t="n">
        <f aca="false">IF(OR($B88&gt;$K$1,T$78&gt;$K$1),0,LN(INDEX($C$79:$L$88,$B88,T$78)*INDEX($N$91:$N$100,T$78)/INDEX($N$91:$N$100,$B88))^2)</f>
        <v>0</v>
      </c>
      <c r="U88" s="327" t="n">
        <f aca="false">IF(OR($B88&gt;$K$1,U$78&gt;$K$1),0,LN(INDEX($C$79:$L$88,$B88,U$78)*INDEX($N$91:$N$100,U$78)/INDEX($N$91:$N$100,$B88))^2)</f>
        <v>0</v>
      </c>
      <c r="V88" s="327" t="n">
        <f aca="false">IF(OR($B88&gt;$K$1,V$78&gt;$K$1),0,LN(INDEX($C$79:$L$88,$B88,V$78)*INDEX($N$91:$N$100,V$78)/INDEX($N$91:$N$100,$B88))^2)</f>
        <v>0</v>
      </c>
      <c r="W88" s="327" t="n">
        <f aca="false">IF(OR($B88&gt;$K$1,W$78&gt;$K$1),0,LN(INDEX($C$79:$L$88,$B88,W$78)*INDEX($N$91:$N$100,W$78)/INDEX($N$91:$N$100,$B88))^2)</f>
        <v>0</v>
      </c>
      <c r="X88" s="327" t="n">
        <f aca="false">IF(OR($B88&gt;$K$1,X$78&gt;$K$1),0,LN(INDEX($C$79:$L$88,$B88,X$78)*INDEX($N$91:$N$100,X$78)/INDEX($N$91:$N$100,$B88))^2)</f>
        <v>0</v>
      </c>
      <c r="Y88" s="327" t="n">
        <f aca="false">IF(OR($B88&gt;$K$1,Y$78&gt;$K$1),0,LN(INDEX($C$79:$L$88,$B88,Y$78)*INDEX($N$91:$N$100,Y$78)/INDEX($N$91:$N$100,$B88))^2)</f>
        <v>0</v>
      </c>
      <c r="Z88" s="326" t="n">
        <f aca="false">IF(OR($B88&gt;$K$1,Z$78&gt;$K$1),0,LN(INDEX($C$79:$L$88,$B88,Z$78)*INDEX($N$91:$N$100,Z$78)/INDEX($N$91:$N$100,$B88))^2)</f>
        <v>0</v>
      </c>
    </row>
    <row r="89" customFormat="false" ht="12.75" hidden="true" customHeight="false" outlineLevel="1" collapsed="false">
      <c r="A89" s="177"/>
      <c r="B89" s="115" t="s">
        <v>146</v>
      </c>
      <c r="C89" s="353" t="n">
        <f aca="false">SUM(C79:C88)</f>
        <v>2</v>
      </c>
      <c r="D89" s="353" t="n">
        <f aca="false">SUM(D79:D88)</f>
        <v>2</v>
      </c>
      <c r="E89" s="353" t="n">
        <f aca="false">SUM(E79:E88)</f>
        <v>1</v>
      </c>
      <c r="F89" s="353" t="n">
        <f aca="false">SUM(F79:F88)</f>
        <v>1</v>
      </c>
      <c r="G89" s="353" t="n">
        <f aca="false">SUM(G79:G88)</f>
        <v>1</v>
      </c>
      <c r="H89" s="353" t="n">
        <f aca="false">SUM(H79:H88)</f>
        <v>1</v>
      </c>
      <c r="I89" s="353" t="n">
        <f aca="false">SUM(I79:I88)</f>
        <v>1</v>
      </c>
      <c r="J89" s="353" t="n">
        <f aca="false">SUM(J79:J88)</f>
        <v>1</v>
      </c>
      <c r="K89" s="353" t="n">
        <f aca="false">SUM(K79:K88)</f>
        <v>1</v>
      </c>
      <c r="L89" s="353" t="n">
        <f aca="false">SUM(L79:L88)</f>
        <v>1</v>
      </c>
      <c r="M89" s="108"/>
      <c r="N89" s="168"/>
      <c r="P89" s="327" t="n">
        <f aca="false">SQRT( SUM(Q89:Z89)/($K$1-1) )</f>
        <v>0</v>
      </c>
      <c r="Q89" s="327" t="n">
        <f aca="false">IF(OR($B89&gt;$K$1,Q$78&gt;$K$1),0,LN(INDEX($C$79:$L$88,$B89,Q$78)*INDEX($N$91:$N$100,Q$78)/INDEX($N$91:$N$100,$B89))^2)</f>
        <v>0</v>
      </c>
      <c r="R89" s="327" t="n">
        <f aca="false">IF(OR($B89&gt;$K$1,R$78&gt;$K$1),0,LN(INDEX($C$79:$L$88,$B89,R$78)*INDEX($N$91:$N$100,R$78)/INDEX($N$91:$N$100,$B89))^2)</f>
        <v>0</v>
      </c>
      <c r="S89" s="327" t="n">
        <f aca="false">IF(OR($B89&gt;$K$1,S$78&gt;$K$1),0,LN(INDEX($C$79:$L$88,$B89,S$78)*INDEX($N$91:$N$100,S$78)/INDEX($N$91:$N$100,$B89))^2)</f>
        <v>0</v>
      </c>
      <c r="T89" s="327" t="n">
        <f aca="false">IF(OR($B89&gt;$K$1,T$78&gt;$K$1),0,LN(INDEX($C$79:$L$88,$B89,T$78)*INDEX($N$91:$N$100,T$78)/INDEX($N$91:$N$100,$B89))^2)</f>
        <v>0</v>
      </c>
      <c r="U89" s="327" t="n">
        <f aca="false">IF(OR($B89&gt;$K$1,U$78&gt;$K$1),0,LN(INDEX($C$79:$L$88,$B89,U$78)*INDEX($N$91:$N$100,U$78)/INDEX($N$91:$N$100,$B89))^2)</f>
        <v>0</v>
      </c>
      <c r="V89" s="327" t="n">
        <f aca="false">IF(OR($B89&gt;$K$1,V$78&gt;$K$1),0,LN(INDEX($C$79:$L$88,$B89,V$78)*INDEX($N$91:$N$100,V$78)/INDEX($N$91:$N$100,$B89))^2)</f>
        <v>0</v>
      </c>
      <c r="W89" s="327" t="n">
        <f aca="false">IF(OR($B89&gt;$K$1,W$78&gt;$K$1),0,LN(INDEX($C$79:$L$88,$B89,W$78)*INDEX($N$91:$N$100,W$78)/INDEX($N$91:$N$100,$B89))^2)</f>
        <v>0</v>
      </c>
      <c r="X89" s="327" t="n">
        <f aca="false">IF(OR($B89&gt;$K$1,X$78&gt;$K$1),0,LN(INDEX($C$79:$L$88,$B89,X$78)*INDEX($N$91:$N$100,X$78)/INDEX($N$91:$N$100,$B89))^2)</f>
        <v>0</v>
      </c>
      <c r="Y89" s="327" t="n">
        <f aca="false">IF(OR($B89&gt;$K$1,Y$78&gt;$K$1),0,LN(INDEX($C$79:$L$88,$B89,Y$78)*INDEX($N$91:$N$100,Y$78)/INDEX($N$91:$N$100,$B89))^2)</f>
        <v>0</v>
      </c>
      <c r="Z89" s="327" t="n">
        <f aca="false">IF(OR($B89&gt;$K$1,Z$78&gt;$K$1),0,LN(INDEX($C$79:$L$88,$B89,Z$78)*INDEX($N$91:$N$100,Z$78)/INDEX($N$91:$N$100,$B89))^2)</f>
        <v>0</v>
      </c>
    </row>
    <row r="90" customFormat="false" ht="12.75" hidden="true" customHeight="false" outlineLevel="1" collapsed="false">
      <c r="A90" s="177"/>
      <c r="B90" s="330" t="s">
        <v>147</v>
      </c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331" t="s">
        <v>98</v>
      </c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customFormat="false" ht="12.8" hidden="true" customHeight="false" outlineLevel="1" collapsed="false">
      <c r="A91" s="177"/>
      <c r="B91" s="236" t="n">
        <v>1</v>
      </c>
      <c r="C91" s="327" t="n">
        <f aca="false">IF(C79&gt;0,LN(C79),0)</f>
        <v>0</v>
      </c>
      <c r="D91" s="327" t="n">
        <f aca="false">IF(D79&gt;0,LN(D79),0)</f>
        <v>0</v>
      </c>
      <c r="E91" s="327" t="n">
        <f aca="false">IF(E79&gt;0,LN(E79),0)</f>
        <v>0</v>
      </c>
      <c r="F91" s="327" t="n">
        <f aca="false">IF(F79&gt;0,LN(F79),0)</f>
        <v>0</v>
      </c>
      <c r="G91" s="327" t="n">
        <f aca="false">IF(G79&gt;0,LN(G79),0)</f>
        <v>0</v>
      </c>
      <c r="H91" s="327" t="n">
        <f aca="false">IF(H79&gt;0,LN(H79),0)</f>
        <v>0</v>
      </c>
      <c r="I91" s="327" t="n">
        <f aca="false">IF(I79&gt;0,LN(I79),0)</f>
        <v>0</v>
      </c>
      <c r="J91" s="327" t="n">
        <f aca="false">IF(J79&gt;0,LN(J79),0)</f>
        <v>0</v>
      </c>
      <c r="K91" s="327" t="n">
        <f aca="false">IF(K79&gt;0,LN(K79),0)</f>
        <v>0</v>
      </c>
      <c r="L91" s="327" t="n">
        <f aca="false">IF(L79&gt;0,LN(L79),0)</f>
        <v>0</v>
      </c>
      <c r="M91" s="327" t="n">
        <f aca="false">EXP(SUM(C91:L91)/K$1)</f>
        <v>1</v>
      </c>
      <c r="N91" s="356" t="n">
        <f aca="false">IF(B91&lt;=K$1,M91/M$101,0)</f>
        <v>0.5</v>
      </c>
      <c r="O91" s="333" t="n">
        <f aca="false">N91*COSH(P79)</f>
        <v>0.5</v>
      </c>
      <c r="P91" s="333"/>
      <c r="Q91" s="34"/>
      <c r="R91" s="327"/>
      <c r="S91" s="34"/>
      <c r="T91" s="327"/>
      <c r="U91" s="34"/>
      <c r="V91" s="34"/>
      <c r="W91" s="34"/>
      <c r="X91" s="34"/>
      <c r="Y91" s="34"/>
      <c r="Z91" s="34"/>
    </row>
    <row r="92" customFormat="false" ht="12.8" hidden="true" customHeight="false" outlineLevel="1" collapsed="false">
      <c r="A92" s="177"/>
      <c r="B92" s="236" t="n">
        <v>2</v>
      </c>
      <c r="C92" s="327" t="n">
        <f aca="false">IF(C80&gt;0,LN(C80),0)</f>
        <v>0</v>
      </c>
      <c r="D92" s="327" t="n">
        <f aca="false">IF(D80&gt;0,LN(D80),0)</f>
        <v>0</v>
      </c>
      <c r="E92" s="327" t="n">
        <f aca="false">IF(E80&gt;0,LN(E80),0)</f>
        <v>0</v>
      </c>
      <c r="F92" s="327" t="n">
        <f aca="false">IF(F80&gt;0,LN(F80),0)</f>
        <v>0</v>
      </c>
      <c r="G92" s="327" t="n">
        <f aca="false">IF(G80&gt;0,LN(G80),0)</f>
        <v>0</v>
      </c>
      <c r="H92" s="327" t="n">
        <f aca="false">IF(H80&gt;0,LN(H80),0)</f>
        <v>0</v>
      </c>
      <c r="I92" s="327" t="n">
        <f aca="false">IF(I80&gt;0,LN(I80),0)</f>
        <v>0</v>
      </c>
      <c r="J92" s="327" t="n">
        <f aca="false">IF(J80&gt;0,LN(J80),0)</f>
        <v>0</v>
      </c>
      <c r="K92" s="327" t="n">
        <f aca="false">IF(K80&gt;0,LN(K80),0)</f>
        <v>0</v>
      </c>
      <c r="L92" s="327" t="n">
        <f aca="false">IF(L80&gt;0,LN(L80),0)</f>
        <v>0</v>
      </c>
      <c r="M92" s="327" t="n">
        <f aca="false">EXP(SUM(C92:L92)/K$1)</f>
        <v>1</v>
      </c>
      <c r="N92" s="356" t="n">
        <f aca="false">IF(B92&lt;=K$1,M92/M$101,0)</f>
        <v>0.5</v>
      </c>
      <c r="O92" s="333" t="n">
        <f aca="false">N92*COSH(P80)</f>
        <v>0.5</v>
      </c>
      <c r="P92" s="333"/>
      <c r="Q92" s="34"/>
      <c r="R92" s="327"/>
      <c r="S92" s="34"/>
      <c r="T92" s="327"/>
      <c r="U92" s="34"/>
      <c r="V92" s="34"/>
      <c r="W92" s="34"/>
      <c r="X92" s="34"/>
      <c r="Y92" s="34"/>
      <c r="Z92" s="34"/>
    </row>
    <row r="93" customFormat="false" ht="12.75" hidden="true" customHeight="true" outlineLevel="1" collapsed="false">
      <c r="A93" s="177"/>
      <c r="B93" s="236" t="n">
        <v>3</v>
      </c>
      <c r="C93" s="327" t="n">
        <f aca="false">IF(C81&gt;0,LN(C81),0)</f>
        <v>0</v>
      </c>
      <c r="D93" s="327" t="n">
        <f aca="false">IF(D81&gt;0,LN(D81),0)</f>
        <v>0</v>
      </c>
      <c r="E93" s="327" t="n">
        <f aca="false">IF(E81&gt;0,LN(E81),0)</f>
        <v>0</v>
      </c>
      <c r="F93" s="327" t="n">
        <f aca="false">IF(F81&gt;0,LN(F81),0)</f>
        <v>0</v>
      </c>
      <c r="G93" s="327" t="n">
        <f aca="false">IF(G81&gt;0,LN(G81),0)</f>
        <v>0</v>
      </c>
      <c r="H93" s="327" t="n">
        <f aca="false">IF(H81&gt;0,LN(H81),0)</f>
        <v>0</v>
      </c>
      <c r="I93" s="327" t="n">
        <f aca="false">IF(I81&gt;0,LN(I81),0)</f>
        <v>0</v>
      </c>
      <c r="J93" s="327" t="n">
        <f aca="false">IF(J81&gt;0,LN(J81),0)</f>
        <v>0</v>
      </c>
      <c r="K93" s="327" t="n">
        <f aca="false">IF(K81&gt;0,LN(K81),0)</f>
        <v>0</v>
      </c>
      <c r="L93" s="327" t="n">
        <f aca="false">IF(L81&gt;0,LN(L81),0)</f>
        <v>0</v>
      </c>
      <c r="M93" s="327" t="n">
        <f aca="false">EXP(SUM(C93:L93)/K$1)</f>
        <v>1</v>
      </c>
      <c r="N93" s="356" t="n">
        <f aca="false">IF(B93&lt;=K$1,M93/M$101,0)</f>
        <v>0</v>
      </c>
      <c r="O93" s="333" t="n">
        <f aca="false">N93*COSH(P81)</f>
        <v>0</v>
      </c>
      <c r="P93" s="333"/>
      <c r="Q93" s="34"/>
      <c r="R93" s="327"/>
      <c r="S93" s="34"/>
      <c r="T93" s="327"/>
      <c r="U93" s="34"/>
      <c r="V93" s="34"/>
      <c r="W93" s="34"/>
      <c r="X93" s="34"/>
      <c r="Y93" s="34"/>
      <c r="Z93" s="34"/>
    </row>
    <row r="94" customFormat="false" ht="12.8" hidden="true" customHeight="false" outlineLevel="1" collapsed="false">
      <c r="A94" s="177"/>
      <c r="B94" s="236" t="n">
        <v>4</v>
      </c>
      <c r="C94" s="327" t="n">
        <f aca="false">IF(C82&gt;0,LN(C82),0)</f>
        <v>0</v>
      </c>
      <c r="D94" s="327" t="n">
        <f aca="false">IF(D82&gt;0,LN(D82),0)</f>
        <v>0</v>
      </c>
      <c r="E94" s="327" t="n">
        <f aca="false">IF(E82&gt;0,LN(E82),0)</f>
        <v>0</v>
      </c>
      <c r="F94" s="327" t="n">
        <f aca="false">IF(F82&gt;0,LN(F82),0)</f>
        <v>0</v>
      </c>
      <c r="G94" s="327" t="n">
        <f aca="false">IF(G82&gt;0,LN(G82),0)</f>
        <v>0</v>
      </c>
      <c r="H94" s="327" t="n">
        <f aca="false">IF(H82&gt;0,LN(H82),0)</f>
        <v>0</v>
      </c>
      <c r="I94" s="327" t="n">
        <f aca="false">IF(I82&gt;0,LN(I82),0)</f>
        <v>0</v>
      </c>
      <c r="J94" s="327" t="n">
        <f aca="false">IF(J82&gt;0,LN(J82),0)</f>
        <v>0</v>
      </c>
      <c r="K94" s="327" t="n">
        <f aca="false">IF(K82&gt;0,LN(K82),0)</f>
        <v>0</v>
      </c>
      <c r="L94" s="327" t="n">
        <f aca="false">IF(L82&gt;0,LN(L82),0)</f>
        <v>0</v>
      </c>
      <c r="M94" s="327" t="n">
        <f aca="false">EXP(SUM(C94:L94)/K$1)</f>
        <v>1</v>
      </c>
      <c r="N94" s="356" t="n">
        <f aca="false">IF(B94&lt;=K$1,M94/M$101,0)</f>
        <v>0</v>
      </c>
      <c r="O94" s="333" t="n">
        <f aca="false">N94*COSH(P82)</f>
        <v>0</v>
      </c>
      <c r="P94" s="333"/>
      <c r="Q94" s="34"/>
      <c r="R94" s="327"/>
      <c r="S94" s="34"/>
      <c r="T94" s="327"/>
      <c r="U94" s="327"/>
      <c r="V94" s="34"/>
      <c r="W94" s="34"/>
      <c r="X94" s="34"/>
      <c r="Y94" s="34"/>
      <c r="Z94" s="34"/>
    </row>
    <row r="95" customFormat="false" ht="12.8" hidden="true" customHeight="false" outlineLevel="1" collapsed="false">
      <c r="A95" s="177"/>
      <c r="B95" s="236" t="n">
        <v>5</v>
      </c>
      <c r="C95" s="327" t="n">
        <f aca="false">IF(C83&gt;0,LN(C83),0)</f>
        <v>0</v>
      </c>
      <c r="D95" s="327" t="n">
        <f aca="false">IF(D83&gt;0,LN(D83),0)</f>
        <v>0</v>
      </c>
      <c r="E95" s="327" t="n">
        <f aca="false">IF(E83&gt;0,LN(E83),0)</f>
        <v>0</v>
      </c>
      <c r="F95" s="327" t="n">
        <f aca="false">IF(F83&gt;0,LN(F83),0)</f>
        <v>0</v>
      </c>
      <c r="G95" s="327" t="n">
        <f aca="false">IF(G83&gt;0,LN(G83),0)</f>
        <v>0</v>
      </c>
      <c r="H95" s="327" t="n">
        <f aca="false">IF(H83&gt;0,LN(H83),0)</f>
        <v>0</v>
      </c>
      <c r="I95" s="327" t="n">
        <f aca="false">IF(I83&gt;0,LN(I83),0)</f>
        <v>0</v>
      </c>
      <c r="J95" s="327" t="n">
        <f aca="false">IF(J83&gt;0,LN(J83),0)</f>
        <v>0</v>
      </c>
      <c r="K95" s="327" t="n">
        <f aca="false">IF(K83&gt;0,LN(K83),0)</f>
        <v>0</v>
      </c>
      <c r="L95" s="327" t="n">
        <f aca="false">IF(L83&gt;0,LN(L83),0)</f>
        <v>0</v>
      </c>
      <c r="M95" s="327" t="n">
        <f aca="false">EXP(SUM(C95:L95)/K$1)</f>
        <v>1</v>
      </c>
      <c r="N95" s="356" t="n">
        <f aca="false">IF(B95&lt;=K$1,M95/M$101,0)</f>
        <v>0</v>
      </c>
      <c r="O95" s="333" t="n">
        <f aca="false">N95*COSH(P83)</f>
        <v>0</v>
      </c>
      <c r="P95" s="333"/>
      <c r="Q95" s="34"/>
      <c r="R95" s="327"/>
      <c r="S95" s="34"/>
      <c r="T95" s="327"/>
      <c r="U95" s="34"/>
      <c r="V95" s="34"/>
      <c r="W95" s="34"/>
      <c r="X95" s="34"/>
      <c r="Y95" s="34"/>
      <c r="Z95" s="34"/>
    </row>
    <row r="96" customFormat="false" ht="12.8" hidden="true" customHeight="false" outlineLevel="1" collapsed="false">
      <c r="A96" s="177"/>
      <c r="B96" s="236" t="n">
        <v>6</v>
      </c>
      <c r="C96" s="327" t="n">
        <f aca="false">IF(C84&gt;0,LN(C84),0)</f>
        <v>0</v>
      </c>
      <c r="D96" s="327" t="n">
        <f aca="false">IF(D84&gt;0,LN(D84),0)</f>
        <v>0</v>
      </c>
      <c r="E96" s="327" t="n">
        <f aca="false">IF(E84&gt;0,LN(E84),0)</f>
        <v>0</v>
      </c>
      <c r="F96" s="327" t="n">
        <f aca="false">IF(F84&gt;0,LN(F84),0)</f>
        <v>0</v>
      </c>
      <c r="G96" s="327" t="n">
        <f aca="false">IF(G84&gt;0,LN(G84),0)</f>
        <v>0</v>
      </c>
      <c r="H96" s="327" t="n">
        <f aca="false">IF(H84&gt;0,LN(H84),0)</f>
        <v>0</v>
      </c>
      <c r="I96" s="327" t="n">
        <f aca="false">IF(I84&gt;0,LN(I84),0)</f>
        <v>0</v>
      </c>
      <c r="J96" s="327" t="n">
        <f aca="false">IF(J84&gt;0,LN(J84),0)</f>
        <v>0</v>
      </c>
      <c r="K96" s="327" t="n">
        <f aca="false">IF(K84&gt;0,LN(K84),0)</f>
        <v>0</v>
      </c>
      <c r="L96" s="327" t="n">
        <f aca="false">IF(L84&gt;0,LN(L84),0)</f>
        <v>0</v>
      </c>
      <c r="M96" s="327" t="n">
        <f aca="false">EXP(SUM(C96:L96)/K$1)</f>
        <v>1</v>
      </c>
      <c r="N96" s="356" t="n">
        <f aca="false">IF(B96&lt;=K$1,M96/M$101,0)</f>
        <v>0</v>
      </c>
      <c r="O96" s="333" t="n">
        <f aca="false">N96*COSH(P84)</f>
        <v>0</v>
      </c>
      <c r="P96" s="333"/>
      <c r="Q96" s="34"/>
      <c r="R96" s="34"/>
      <c r="S96" s="34"/>
      <c r="T96" s="327"/>
      <c r="U96" s="34"/>
      <c r="V96" s="34"/>
      <c r="W96" s="34"/>
      <c r="X96" s="34"/>
      <c r="Y96" s="34"/>
      <c r="Z96" s="34"/>
    </row>
    <row r="97" customFormat="false" ht="12.8" hidden="true" customHeight="false" outlineLevel="1" collapsed="false">
      <c r="A97" s="177"/>
      <c r="B97" s="236" t="n">
        <v>7</v>
      </c>
      <c r="C97" s="327" t="n">
        <f aca="false">IF(C85&gt;0,LN(C85),0)</f>
        <v>0</v>
      </c>
      <c r="D97" s="327" t="n">
        <f aca="false">IF(D85&gt;0,LN(D85),0)</f>
        <v>0</v>
      </c>
      <c r="E97" s="327" t="n">
        <f aca="false">IF(E85&gt;0,LN(E85),0)</f>
        <v>0</v>
      </c>
      <c r="F97" s="327" t="n">
        <f aca="false">IF(F85&gt;0,LN(F85),0)</f>
        <v>0</v>
      </c>
      <c r="G97" s="327" t="n">
        <f aca="false">IF(G85&gt;0,LN(G85),0)</f>
        <v>0</v>
      </c>
      <c r="H97" s="327" t="n">
        <f aca="false">IF(H85&gt;0,LN(H85),0)</f>
        <v>0</v>
      </c>
      <c r="I97" s="327" t="n">
        <f aca="false">IF(I85&gt;0,LN(I85),0)</f>
        <v>0</v>
      </c>
      <c r="J97" s="327" t="n">
        <f aca="false">IF(J85&gt;0,LN(J85),0)</f>
        <v>0</v>
      </c>
      <c r="K97" s="327" t="n">
        <f aca="false">IF(K85&gt;0,LN(K85),0)</f>
        <v>0</v>
      </c>
      <c r="L97" s="327" t="n">
        <f aca="false">IF(L85&gt;0,LN(L85),0)</f>
        <v>0</v>
      </c>
      <c r="M97" s="327" t="n">
        <f aca="false">EXP(SUM(C97:L97)/K$1)</f>
        <v>1</v>
      </c>
      <c r="N97" s="356" t="n">
        <f aca="false">IF(B97&lt;=K$1,M97/M$101,0)</f>
        <v>0</v>
      </c>
      <c r="O97" s="333" t="n">
        <f aca="false">N97*COSH(P85)</f>
        <v>0</v>
      </c>
      <c r="P97" s="333"/>
      <c r="Q97" s="34"/>
      <c r="R97" s="34"/>
      <c r="S97" s="34"/>
      <c r="T97" s="327"/>
      <c r="U97" s="34"/>
      <c r="V97" s="34"/>
      <c r="W97" s="34"/>
      <c r="X97" s="34"/>
      <c r="Y97" s="34"/>
      <c r="Z97" s="34"/>
    </row>
    <row r="98" customFormat="false" ht="12.8" hidden="true" customHeight="false" outlineLevel="1" collapsed="false">
      <c r="A98" s="177"/>
      <c r="B98" s="236" t="n">
        <v>8</v>
      </c>
      <c r="C98" s="327" t="n">
        <f aca="false">IF(C86&gt;0,LN(C86),0)</f>
        <v>0</v>
      </c>
      <c r="D98" s="327" t="n">
        <f aca="false">IF(D86&gt;0,LN(D86),0)</f>
        <v>0</v>
      </c>
      <c r="E98" s="327" t="n">
        <f aca="false">IF(E86&gt;0,LN(E86),0)</f>
        <v>0</v>
      </c>
      <c r="F98" s="327" t="n">
        <f aca="false">IF(F86&gt;0,LN(F86),0)</f>
        <v>0</v>
      </c>
      <c r="G98" s="327" t="n">
        <f aca="false">IF(G86&gt;0,LN(G86),0)</f>
        <v>0</v>
      </c>
      <c r="H98" s="327" t="n">
        <f aca="false">IF(H86&gt;0,LN(H86),0)</f>
        <v>0</v>
      </c>
      <c r="I98" s="327" t="n">
        <f aca="false">IF(I86&gt;0,LN(I86),0)</f>
        <v>0</v>
      </c>
      <c r="J98" s="327" t="n">
        <f aca="false">IF(J86&gt;0,LN(J86),0)</f>
        <v>0</v>
      </c>
      <c r="K98" s="327" t="n">
        <f aca="false">IF(K86&gt;0,LN(K86),0)</f>
        <v>0</v>
      </c>
      <c r="L98" s="327" t="n">
        <f aca="false">IF(L86&gt;0,LN(L86),0)</f>
        <v>0</v>
      </c>
      <c r="M98" s="327" t="n">
        <f aca="false">EXP(SUM(C98:L98)/K$1)</f>
        <v>1</v>
      </c>
      <c r="N98" s="356" t="n">
        <f aca="false">IF(B98&lt;=K$1,M98/M$101,0)</f>
        <v>0</v>
      </c>
      <c r="O98" s="333" t="n">
        <f aca="false">N98*COSH(P86)</f>
        <v>0</v>
      </c>
      <c r="P98" s="333"/>
      <c r="Q98" s="34"/>
      <c r="R98" s="34"/>
      <c r="S98" s="34"/>
      <c r="T98" s="327"/>
      <c r="U98" s="34"/>
      <c r="V98" s="34"/>
      <c r="W98" s="34"/>
      <c r="X98" s="34"/>
      <c r="Y98" s="34"/>
      <c r="Z98" s="34"/>
    </row>
    <row r="99" customFormat="false" ht="12.8" hidden="true" customHeight="false" outlineLevel="1" collapsed="false">
      <c r="A99" s="177"/>
      <c r="B99" s="236" t="n">
        <v>9</v>
      </c>
      <c r="C99" s="327" t="n">
        <f aca="false">IF(C87&gt;0,LN(C87),0)</f>
        <v>0</v>
      </c>
      <c r="D99" s="327" t="n">
        <f aca="false">IF(D87&gt;0,LN(D87),0)</f>
        <v>0</v>
      </c>
      <c r="E99" s="327" t="n">
        <f aca="false">IF(E87&gt;0,LN(E87),0)</f>
        <v>0</v>
      </c>
      <c r="F99" s="327" t="n">
        <f aca="false">IF(F87&gt;0,LN(F87),0)</f>
        <v>0</v>
      </c>
      <c r="G99" s="327" t="n">
        <f aca="false">IF(G87&gt;0,LN(G87),0)</f>
        <v>0</v>
      </c>
      <c r="H99" s="327" t="n">
        <f aca="false">IF(H87&gt;0,LN(H87),0)</f>
        <v>0</v>
      </c>
      <c r="I99" s="327" t="n">
        <f aca="false">IF(I87&gt;0,LN(I87),0)</f>
        <v>0</v>
      </c>
      <c r="J99" s="327" t="n">
        <f aca="false">IF(J87&gt;0,LN(J87),0)</f>
        <v>0</v>
      </c>
      <c r="K99" s="327" t="n">
        <f aca="false">IF(K87&gt;0,LN(K87),0)</f>
        <v>0</v>
      </c>
      <c r="L99" s="327" t="n">
        <f aca="false">IF(L87&gt;0,LN(L87),0)</f>
        <v>0</v>
      </c>
      <c r="M99" s="327" t="n">
        <f aca="false">EXP(SUM(C99:L99)/K$1)</f>
        <v>1</v>
      </c>
      <c r="N99" s="356" t="n">
        <f aca="false">IF(B99&lt;=K$1,M99/M$101,0)</f>
        <v>0</v>
      </c>
      <c r="O99" s="333" t="n">
        <f aca="false">N99*COSH(P87)</f>
        <v>0</v>
      </c>
      <c r="P99" s="333"/>
      <c r="Q99" s="34"/>
      <c r="R99" s="34"/>
      <c r="S99" s="34"/>
      <c r="T99" s="327"/>
      <c r="U99" s="34"/>
      <c r="V99" s="34"/>
      <c r="W99" s="34"/>
      <c r="X99" s="34"/>
      <c r="Y99" s="34"/>
      <c r="Z99" s="34"/>
    </row>
    <row r="100" customFormat="false" ht="12.8" hidden="true" customHeight="false" outlineLevel="1" collapsed="false">
      <c r="A100" s="177"/>
      <c r="B100" s="236" t="n">
        <v>10</v>
      </c>
      <c r="C100" s="327" t="n">
        <f aca="false">IF(C88&gt;0,LN(C88),0)</f>
        <v>0</v>
      </c>
      <c r="D100" s="327" t="n">
        <f aca="false">IF(D88&gt;0,LN(D88),0)</f>
        <v>0</v>
      </c>
      <c r="E100" s="327" t="n">
        <f aca="false">IF(E88&gt;0,LN(E88),0)</f>
        <v>0</v>
      </c>
      <c r="F100" s="327" t="n">
        <f aca="false">IF(F88&gt;0,LN(F88),0)</f>
        <v>0</v>
      </c>
      <c r="G100" s="327" t="n">
        <f aca="false">IF(G88&gt;0,LN(G88),0)</f>
        <v>0</v>
      </c>
      <c r="H100" s="327" t="n">
        <f aca="false">IF(H88&gt;0,LN(H88),0)</f>
        <v>0</v>
      </c>
      <c r="I100" s="327" t="n">
        <f aca="false">IF(I88&gt;0,LN(I88),0)</f>
        <v>0</v>
      </c>
      <c r="J100" s="327" t="n">
        <f aca="false">IF(J88&gt;0,LN(J88),0)</f>
        <v>0</v>
      </c>
      <c r="K100" s="327" t="n">
        <f aca="false">IF(K88&gt;0,LN(K88),0)</f>
        <v>0</v>
      </c>
      <c r="L100" s="327" t="n">
        <f aca="false">IF(L88&gt;0,LN(L88),0)</f>
        <v>0</v>
      </c>
      <c r="M100" s="327" t="n">
        <f aca="false">EXP(SUM(C100:L100)/K$1)</f>
        <v>1</v>
      </c>
      <c r="N100" s="356" t="n">
        <f aca="false">IF(B100&lt;=K$1,M100/M$101,0)</f>
        <v>0</v>
      </c>
      <c r="O100" s="333" t="n">
        <f aca="false">N100*COSH(P88)</f>
        <v>0</v>
      </c>
      <c r="P100" s="333"/>
      <c r="Q100" s="34"/>
      <c r="R100" s="34"/>
      <c r="S100" s="34"/>
      <c r="T100" s="327"/>
      <c r="U100" s="34"/>
      <c r="V100" s="34"/>
      <c r="W100" s="34"/>
      <c r="X100" s="34"/>
      <c r="Y100" s="34"/>
      <c r="Z100" s="34"/>
    </row>
    <row r="101" customFormat="false" ht="12.75" hidden="true" customHeight="false" outlineLevel="1" collapsed="false">
      <c r="A101" s="177"/>
      <c r="B101" s="334" t="s">
        <v>148</v>
      </c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335" t="n">
        <f aca="false">SUM(M91:M100)-(10-K1)</f>
        <v>2</v>
      </c>
      <c r="N101" s="336" t="n">
        <f aca="false">MMULT(C89:L89,N91:N100)</f>
        <v>2</v>
      </c>
      <c r="O101" s="337" t="n">
        <f aca="false">SUM(O91:O100)</f>
        <v>1</v>
      </c>
      <c r="P101" s="327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customFormat="false" ht="12.75" hidden="true" customHeight="false" outlineLevel="1" collapsed="false">
      <c r="A102" s="177"/>
      <c r="B102" s="236" t="n">
        <v>1</v>
      </c>
      <c r="C102" s="236" t="n">
        <v>1</v>
      </c>
      <c r="D102" s="236" t="n">
        <f aca="false">IF(AND($B79&lt;=$K$1,D$78&lt;=$K$1,(D113&gt;1/9),(D113&lt;9)),IF(D79*D113&gt;1,D79*D113,1/(D79*D113)),0)</f>
        <v>1</v>
      </c>
      <c r="E102" s="236" t="n">
        <f aca="false">IF(AND($B79&lt;=$K$1,E$78&lt;=$K$1,(E113&gt;1/9),(E113&lt;9)),IF(E79*E113&gt;1,E79*E113,1/(E79*E113)),0)</f>
        <v>0</v>
      </c>
      <c r="F102" s="236" t="n">
        <f aca="false">IF(AND($B79&lt;=$K$1,F$78&lt;=$K$1,(F113&gt;1/9),(F113&lt;9)),IF(F79*F113&gt;1,F79*F113,1/(F79*F113)),0)</f>
        <v>0</v>
      </c>
      <c r="G102" s="236" t="n">
        <f aca="false">IF(AND($B79&lt;=$K$1,G$78&lt;=$K$1,(G113&gt;1/9),(G113&lt;9)),IF(G79*G113&gt;1,G79*G113,1/(G79*G113)),0)</f>
        <v>0</v>
      </c>
      <c r="H102" s="236" t="n">
        <f aca="false">IF(AND($B79&lt;=$K$1,H$78&lt;=$K$1,(H113&gt;1/9),(H113&lt;9)),IF(H79*H113&gt;1,H79*H113,1/(H79*H113)),0)</f>
        <v>0</v>
      </c>
      <c r="I102" s="236" t="n">
        <f aca="false">IF(AND($B79&lt;=$K$1,I$78&lt;=$K$1,(I113&gt;1/9),(I113&lt;9)),IF(I79*I113&gt;1,I79*I113,1/(I79*I113)),0)</f>
        <v>0</v>
      </c>
      <c r="J102" s="236" t="n">
        <f aca="false">IF(AND($B79&lt;=$K$1,J$78&lt;=$K$1,(J113&gt;1/9),(J113&lt;9)),IF(J79*J113&gt;1,J79*J113,1/(J79*J113)),0)</f>
        <v>0</v>
      </c>
      <c r="K102" s="236" t="n">
        <f aca="false">IF(AND($B79&lt;=$K$1,K$78&lt;=$K$1,(K113&gt;1/9),(K113&lt;9)),IF(K79*K113&gt;1,K79*K113,1/(K79*K113)),0)</f>
        <v>0</v>
      </c>
      <c r="L102" s="236" t="n">
        <f aca="false">IF(AND($B79&lt;=$K$1,L$78&lt;=$K$1,(L113&gt;1/9),(L113&lt;9)),IF(L79*L113&gt;1,L79*L113,1/(L79*L113)),0)</f>
        <v>0</v>
      </c>
      <c r="M102" s="108"/>
      <c r="N102" s="168"/>
    </row>
    <row r="103" customFormat="false" ht="12.75" hidden="true" customHeight="false" outlineLevel="1" collapsed="false">
      <c r="A103" s="177"/>
      <c r="B103" s="236" t="n">
        <v>2</v>
      </c>
      <c r="C103" s="338"/>
      <c r="D103" s="236" t="n">
        <v>1</v>
      </c>
      <c r="E103" s="236" t="n">
        <f aca="false">IF(AND($B80&lt;=$K$1,E$78&lt;=$K$1,(E114&gt;1/9),(E114&lt;9)),IF(E80*E114&gt;1,E80*E114,1/(E80*E114)),0)</f>
        <v>0</v>
      </c>
      <c r="F103" s="236" t="n">
        <f aca="false">IF(AND($B80&lt;=$K$1,F$78&lt;=$K$1,(F114&gt;1/9),(F114&lt;9)),IF(F80*F114&gt;1,F80*F114,1/(F80*F114)),0)</f>
        <v>0</v>
      </c>
      <c r="G103" s="236" t="n">
        <f aca="false">IF(AND($B80&lt;=$K$1,G$78&lt;=$K$1,(G114&gt;1/9),(G114&lt;9)),IF(G80*G114&gt;1,G80*G114,1/(G80*G114)),0)</f>
        <v>0</v>
      </c>
      <c r="H103" s="236" t="n">
        <f aca="false">IF(AND($B80&lt;=$K$1,H$78&lt;=$K$1,(H114&gt;1/9),(H114&lt;9)),IF(H80*H114&gt;1,H80*H114,1/(H80*H114)),0)</f>
        <v>0</v>
      </c>
      <c r="I103" s="236" t="n">
        <f aca="false">IF(AND($B80&lt;=$K$1,I$78&lt;=$K$1,(I114&gt;1/9),(I114&lt;9)),IF(I80*I114&gt;1,I80*I114,1/(I80*I114)),0)</f>
        <v>0</v>
      </c>
      <c r="J103" s="236" t="n">
        <f aca="false">IF(AND($B80&lt;=$K$1,J$78&lt;=$K$1,(J114&gt;1/9),(J114&lt;9)),IF(J80*J114&gt;1,J80*J114,1/(J80*J114)),0)</f>
        <v>0</v>
      </c>
      <c r="K103" s="236" t="n">
        <f aca="false">IF(AND($B80&lt;=$K$1,K$78&lt;=$K$1,(K114&gt;1/9),(K114&lt;9)),IF(K80*K114&gt;1,K80*K114,1/(K80*K114)),0)</f>
        <v>0</v>
      </c>
      <c r="L103" s="236" t="n">
        <f aca="false">IF(AND($B80&lt;=$K$1,L$78&lt;=$K$1,(L114&gt;1/9),(L114&lt;9)),IF(L80*L114&gt;1,L80*L114,1/(L80*L114)),0)</f>
        <v>0</v>
      </c>
      <c r="M103" s="108"/>
      <c r="N103" s="168"/>
    </row>
    <row r="104" customFormat="false" ht="12.75" hidden="true" customHeight="false" outlineLevel="1" collapsed="false">
      <c r="A104" s="177"/>
      <c r="B104" s="236" t="n">
        <v>3</v>
      </c>
      <c r="C104" s="338"/>
      <c r="D104" s="338"/>
      <c r="E104" s="236" t="n">
        <v>1</v>
      </c>
      <c r="F104" s="236" t="n">
        <f aca="false">IF(AND($B81&lt;=$K$1,F$78&lt;=$K$1,(F115&gt;1/9),(F115&lt;9)),IF(F81*F115&gt;1,F81*F115,1/(F81*F115)),0)</f>
        <v>0</v>
      </c>
      <c r="G104" s="236" t="n">
        <f aca="false">IF(AND($B81&lt;=$K$1,G$78&lt;=$K$1,(G115&gt;1/9),(G115&lt;9)),IF(G81*G115&gt;1,G81*G115,1/(G81*G115)),0)</f>
        <v>0</v>
      </c>
      <c r="H104" s="236" t="n">
        <f aca="false">IF(AND($B81&lt;=$K$1,H$78&lt;=$K$1,(H115&gt;1/9),(H115&lt;9)),IF(H81*H115&gt;1,H81*H115,1/(H81*H115)),0)</f>
        <v>0</v>
      </c>
      <c r="I104" s="236" t="n">
        <f aca="false">IF(AND($B81&lt;=$K$1,I$78&lt;=$K$1,(I115&gt;1/9),(I115&lt;9)),IF(I81*I115&gt;1,I81*I115,1/(I81*I115)),0)</f>
        <v>0</v>
      </c>
      <c r="J104" s="236" t="n">
        <f aca="false">IF(AND($B81&lt;=$K$1,J$78&lt;=$K$1,(J115&gt;1/9),(J115&lt;9)),IF(J81*J115&gt;1,J81*J115,1/(J81*J115)),0)</f>
        <v>0</v>
      </c>
      <c r="K104" s="236" t="n">
        <f aca="false">IF(AND($B81&lt;=$K$1,K$78&lt;=$K$1,(K115&gt;1/9),(K115&lt;9)),IF(K81*K115&gt;1,K81*K115,1/(K81*K115)),0)</f>
        <v>0</v>
      </c>
      <c r="L104" s="236" t="n">
        <f aca="false">IF(AND($B81&lt;=$K$1,L$78&lt;=$K$1,(L115&gt;1/9),(L115&lt;9)),IF(L81*L115&gt;1,L81*L115,1/(L81*L115)),0)</f>
        <v>0</v>
      </c>
      <c r="M104" s="108"/>
      <c r="N104" s="168"/>
    </row>
    <row r="105" customFormat="false" ht="12.75" hidden="true" customHeight="false" outlineLevel="1" collapsed="false">
      <c r="A105" s="177"/>
      <c r="B105" s="236" t="n">
        <v>4</v>
      </c>
      <c r="C105" s="338"/>
      <c r="D105" s="338"/>
      <c r="E105" s="338"/>
      <c r="F105" s="236" t="n">
        <v>1</v>
      </c>
      <c r="G105" s="236" t="n">
        <f aca="false">IF(AND($B82&lt;=$K$1,G$78&lt;=$K$1,(G116&gt;1/9),(G116&lt;9)),IF(G82*G116&gt;1,G82*G116,1/(G82*G116)),0)</f>
        <v>0</v>
      </c>
      <c r="H105" s="236" t="n">
        <f aca="false">IF(AND($B82&lt;=$K$1,H$78&lt;=$K$1,(H116&gt;1/9),(H116&lt;9)),IF(H82*H116&gt;1,H82*H116,1/(H82*H116)),0)</f>
        <v>0</v>
      </c>
      <c r="I105" s="236" t="n">
        <f aca="false">IF(AND($B82&lt;=$K$1,I$78&lt;=$K$1,(I116&gt;1/9),(I116&lt;9)),IF(I82*I116&gt;1,I82*I116,1/(I82*I116)),0)</f>
        <v>0</v>
      </c>
      <c r="J105" s="236" t="n">
        <f aca="false">IF(AND($B82&lt;=$K$1,J$78&lt;=$K$1,(J116&gt;1/9),(J116&lt;9)),IF(J82*J116&gt;1,J82*J116,1/(J82*J116)),0)</f>
        <v>0</v>
      </c>
      <c r="K105" s="236" t="n">
        <f aca="false">IF(AND($B82&lt;=$K$1,K$78&lt;=$K$1,(K116&gt;1/9),(K116&lt;9)),IF(K82*K116&gt;1,K82*K116,1/(K82*K116)),0)</f>
        <v>0</v>
      </c>
      <c r="L105" s="236" t="n">
        <f aca="false">IF(AND($B82&lt;=$K$1,L$78&lt;=$K$1,(L116&gt;1/9),(L116&lt;9)),IF(L82*L116&gt;1,L82*L116,1/(L82*L116)),0)</f>
        <v>0</v>
      </c>
      <c r="M105" s="108"/>
      <c r="N105" s="168"/>
    </row>
    <row r="106" customFormat="false" ht="12.75" hidden="true" customHeight="false" outlineLevel="1" collapsed="false">
      <c r="A106" s="177"/>
      <c r="B106" s="236" t="n">
        <v>5</v>
      </c>
      <c r="C106" s="338"/>
      <c r="D106" s="338"/>
      <c r="E106" s="338"/>
      <c r="F106" s="338"/>
      <c r="G106" s="236" t="n">
        <v>1</v>
      </c>
      <c r="H106" s="236" t="n">
        <f aca="false">IF(AND($B83&lt;=$K$1,H$78&lt;=$K$1,(H117&gt;1/9),(H117&lt;9)),IF(H83*H117&gt;1,H83*H117,1/(H83*H117)),0)</f>
        <v>0</v>
      </c>
      <c r="I106" s="236" t="n">
        <f aca="false">IF(AND($B83&lt;=$K$1,I$78&lt;=$K$1,(I117&gt;1/9),(I117&lt;9)),IF(I83*I117&gt;1,I83*I117,1/(I83*I117)),0)</f>
        <v>0</v>
      </c>
      <c r="J106" s="236" t="n">
        <f aca="false">IF(AND($B83&lt;=$K$1,J$78&lt;=$K$1,(J117&gt;1/9),(J117&lt;9)),IF(J83*J117&gt;1,J83*J117,1/(J83*J117)),0)</f>
        <v>0</v>
      </c>
      <c r="K106" s="236" t="n">
        <f aca="false">IF(AND($B83&lt;=$K$1,K$78&lt;=$K$1,(K117&gt;1/9),(K117&lt;9)),IF(K83*K117&gt;1,K83*K117,1/(K83*K117)),0)</f>
        <v>0</v>
      </c>
      <c r="L106" s="236" t="n">
        <f aca="false">IF(AND($B83&lt;=$K$1,L$78&lt;=$K$1,(L117&gt;1/9),(L117&lt;9)),IF(L83*L117&gt;1,L83*L117,1/(L83*L117)),0)</f>
        <v>0</v>
      </c>
      <c r="M106" s="108"/>
      <c r="N106" s="168"/>
    </row>
    <row r="107" customFormat="false" ht="12.75" hidden="true" customHeight="false" outlineLevel="1" collapsed="false">
      <c r="A107" s="177"/>
      <c r="B107" s="236" t="n">
        <v>6</v>
      </c>
      <c r="C107" s="338"/>
      <c r="D107" s="338"/>
      <c r="E107" s="338"/>
      <c r="F107" s="338"/>
      <c r="G107" s="338"/>
      <c r="H107" s="236" t="n">
        <v>1</v>
      </c>
      <c r="I107" s="236" t="n">
        <f aca="false">IF(AND($B84&lt;=$K$1,I$78&lt;=$K$1,(I118&gt;1/9),(I118&lt;9)),IF(I84*I118&gt;1,I84*I118,1/(I84*I118)),0)</f>
        <v>0</v>
      </c>
      <c r="J107" s="236" t="n">
        <f aca="false">IF(AND($B84&lt;=$K$1,J$78&lt;=$K$1,(J118&gt;1/9),(J118&lt;9)),IF(J84*J118&gt;1,J84*J118,1/(J84*J118)),0)</f>
        <v>0</v>
      </c>
      <c r="K107" s="236" t="n">
        <f aca="false">IF(AND($B84&lt;=$K$1,K$78&lt;=$K$1,(K118&gt;1/9),(K118&lt;9)),IF(K84*K118&gt;1,K84*K118,1/(K84*K118)),0)</f>
        <v>0</v>
      </c>
      <c r="L107" s="236" t="n">
        <f aca="false">IF(AND($B84&lt;=$K$1,L$78&lt;=$K$1,(L118&gt;1/9),(L118&lt;9)),IF(L84*L118&gt;1,L84*L118,1/(L84*L118)),0)</f>
        <v>0</v>
      </c>
      <c r="M107" s="108"/>
      <c r="N107" s="168"/>
    </row>
    <row r="108" customFormat="false" ht="12.75" hidden="true" customHeight="false" outlineLevel="1" collapsed="false">
      <c r="A108" s="177"/>
      <c r="B108" s="236" t="n">
        <v>7</v>
      </c>
      <c r="C108" s="338"/>
      <c r="D108" s="338"/>
      <c r="E108" s="338"/>
      <c r="F108" s="338"/>
      <c r="G108" s="338"/>
      <c r="H108" s="338"/>
      <c r="I108" s="236" t="n">
        <v>1</v>
      </c>
      <c r="J108" s="236" t="n">
        <f aca="false">IF(AND($B85&lt;=$K$1,J$78&lt;=$K$1,(J119&gt;1/9),(J119&lt;9)),IF(J85*J119&gt;1,J85*J119,1/(J85*J119)),0)</f>
        <v>0</v>
      </c>
      <c r="K108" s="236" t="n">
        <f aca="false">IF(AND($B85&lt;=$K$1,K$78&lt;=$K$1,(K119&gt;1/9),(K119&lt;9)),IF(K85*K119&gt;1,K85*K119,1/(K85*K119)),0)</f>
        <v>0</v>
      </c>
      <c r="L108" s="236" t="n">
        <f aca="false">IF(AND($B85&lt;=$K$1,L$78&lt;=$K$1,(L119&gt;1/9),(L119&lt;9)),IF(L85*L119&gt;1,L85*L119,1/(L85*L119)),0)</f>
        <v>0</v>
      </c>
      <c r="M108" s="108"/>
      <c r="N108" s="168"/>
    </row>
    <row r="109" customFormat="false" ht="12.75" hidden="true" customHeight="false" outlineLevel="1" collapsed="false">
      <c r="A109" s="177"/>
      <c r="B109" s="236" t="n">
        <v>8</v>
      </c>
      <c r="C109" s="338"/>
      <c r="D109" s="338"/>
      <c r="E109" s="338"/>
      <c r="F109" s="338"/>
      <c r="G109" s="338"/>
      <c r="H109" s="338"/>
      <c r="I109" s="338"/>
      <c r="J109" s="236" t="n">
        <v>1</v>
      </c>
      <c r="K109" s="236" t="n">
        <f aca="false">IF(AND($B86&lt;=$K$1,K$78&lt;=$K$1,(K120&gt;1/9),(K120&lt;9)),IF(K86*K120&gt;1,K86*K120,1/(K86*K120)),0)</f>
        <v>0</v>
      </c>
      <c r="L109" s="236" t="n">
        <f aca="false">IF(AND($B86&lt;=$K$1,L$78&lt;=$K$1,(L120&gt;1/9),(L120&lt;9)),IF(L86*L120&gt;1,L86*L120,1/(L86*L120)),0)</f>
        <v>0</v>
      </c>
      <c r="M109" s="108"/>
      <c r="N109" s="168"/>
    </row>
    <row r="110" customFormat="false" ht="12.75" hidden="true" customHeight="false" outlineLevel="1" collapsed="false">
      <c r="A110" s="177"/>
      <c r="B110" s="236" t="n">
        <v>9</v>
      </c>
      <c r="C110" s="338"/>
      <c r="D110" s="338"/>
      <c r="E110" s="338"/>
      <c r="F110" s="338"/>
      <c r="G110" s="338"/>
      <c r="H110" s="338"/>
      <c r="I110" s="338"/>
      <c r="J110" s="338"/>
      <c r="K110" s="236" t="n">
        <v>1</v>
      </c>
      <c r="L110" s="236" t="n">
        <f aca="false">IF(AND($B87&lt;=$K$1,L$78&lt;=$K$1,(L121&gt;1/9),(L121&lt;9)),IF(L87*L121&gt;1,L87*L121,1/(L87*L121)),0)</f>
        <v>0</v>
      </c>
      <c r="M110" s="108"/>
      <c r="N110" s="168"/>
    </row>
    <row r="111" customFormat="false" ht="12.75" hidden="true" customHeight="false" outlineLevel="1" collapsed="false">
      <c r="A111" s="177"/>
      <c r="B111" s="236" t="n">
        <v>10</v>
      </c>
      <c r="C111" s="338"/>
      <c r="D111" s="338"/>
      <c r="E111" s="338"/>
      <c r="F111" s="338"/>
      <c r="G111" s="338"/>
      <c r="H111" s="338"/>
      <c r="I111" s="338"/>
      <c r="J111" s="338"/>
      <c r="K111" s="338"/>
      <c r="L111" s="236" t="n">
        <v>1</v>
      </c>
      <c r="M111" s="108"/>
      <c r="N111" s="168"/>
    </row>
    <row r="112" customFormat="false" ht="12.75" hidden="true" customHeight="false" outlineLevel="1" collapsed="false">
      <c r="A112" s="177"/>
      <c r="B112" s="334" t="s">
        <v>149</v>
      </c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68"/>
    </row>
    <row r="113" customFormat="false" ht="12.75" hidden="true" customHeight="false" outlineLevel="1" collapsed="false">
      <c r="A113" s="177"/>
      <c r="B113" s="236" t="n">
        <v>1</v>
      </c>
      <c r="C113" s="339" t="n">
        <v>1</v>
      </c>
      <c r="D113" s="340" t="n">
        <f aca="true">IF(AND($B91&lt;=$K$1,D$78&lt;=$K$1), OFFSET($N$90,D$78,0)/OFFSET($N$90,$B91,0),0)</f>
        <v>1</v>
      </c>
      <c r="E113" s="340" t="n">
        <f aca="true">IF(AND($B91&lt;=$K$1,E$78&lt;=$K$1), OFFSET($N$90,E$78,0)/OFFSET($N$90,$B91,0),0)</f>
        <v>0</v>
      </c>
      <c r="F113" s="340" t="n">
        <f aca="true">IF(AND($B91&lt;=$K$1,F$78&lt;=$K$1), OFFSET($N$90,F$78,0)/OFFSET($N$90,$B91,0),0)</f>
        <v>0</v>
      </c>
      <c r="G113" s="340" t="n">
        <f aca="true">IF(AND($B91&lt;=$K$1,G$78&lt;=$K$1), OFFSET($N$90,G$78,0)/OFFSET($N$90,$B91,0),0)</f>
        <v>0</v>
      </c>
      <c r="H113" s="340" t="n">
        <f aca="true">IF(AND($B91&lt;=$K$1,H$78&lt;=$K$1), OFFSET($N$90,H$78,0)/OFFSET($N$90,$B91,0),0)</f>
        <v>0</v>
      </c>
      <c r="I113" s="340" t="n">
        <f aca="true">IF(AND($B91&lt;=$K$1,I$78&lt;=$K$1), OFFSET($N$90,I$78,0)/OFFSET($N$90,$B91,0),0)</f>
        <v>0</v>
      </c>
      <c r="J113" s="340" t="n">
        <f aca="true">IF(AND($B91&lt;=$K$1,J$78&lt;=$K$1), OFFSET($N$90,J$78,0)/OFFSET($N$90,$B91,0),0)</f>
        <v>0</v>
      </c>
      <c r="K113" s="340" t="n">
        <f aca="true">IF(AND($B91&lt;=$K$1,K$78&lt;=$K$1), OFFSET($N$90,K$78,0)/OFFSET($N$90,$B91,0),0)</f>
        <v>0</v>
      </c>
      <c r="L113" s="340" t="n">
        <f aca="true">IF(AND($B91&lt;=$K$1,L$78&lt;=$K$1), OFFSET($N$90,L$78,0)/OFFSET($N$90,$B91,0),0)</f>
        <v>0</v>
      </c>
      <c r="M113" s="108"/>
      <c r="N113" s="168"/>
    </row>
    <row r="114" customFormat="false" ht="12.75" hidden="true" customHeight="false" outlineLevel="1" collapsed="false">
      <c r="A114" s="177"/>
      <c r="B114" s="236" t="n">
        <v>2</v>
      </c>
      <c r="C114" s="338"/>
      <c r="D114" s="339" t="n">
        <v>1</v>
      </c>
      <c r="E114" s="340" t="n">
        <f aca="true">IF(AND($B92&lt;=$K$1,E$78&lt;=$K$1), OFFSET($N$90,E$78,0)/OFFSET($N$90,$B92,0),0)</f>
        <v>0</v>
      </c>
      <c r="F114" s="340" t="n">
        <f aca="true">IF(AND($B92&lt;=$K$1,F$78&lt;=$K$1), OFFSET($N$90,F$78,0)/OFFSET($N$90,$B92,0),0)</f>
        <v>0</v>
      </c>
      <c r="G114" s="340" t="n">
        <f aca="true">IF(AND($B92&lt;=$K$1,G$78&lt;=$K$1), OFFSET($N$90,G$78,0)/OFFSET($N$90,$B92,0),0)</f>
        <v>0</v>
      </c>
      <c r="H114" s="340" t="n">
        <f aca="true">IF(AND($B92&lt;=$K$1,H$78&lt;=$K$1), OFFSET($N$90,H$78,0)/OFFSET($N$90,$B92,0),0)</f>
        <v>0</v>
      </c>
      <c r="I114" s="340" t="n">
        <f aca="true">IF(AND($B92&lt;=$K$1,I$78&lt;=$K$1), OFFSET($N$90,I$78,0)/OFFSET($N$90,$B92,0),0)</f>
        <v>0</v>
      </c>
      <c r="J114" s="340" t="n">
        <f aca="true">IF(AND($B92&lt;=$K$1,J$78&lt;=$K$1), OFFSET($N$90,J$78,0)/OFFSET($N$90,$B92,0),0)</f>
        <v>0</v>
      </c>
      <c r="K114" s="340" t="n">
        <f aca="true">IF(AND($B92&lt;=$K$1,K$78&lt;=$K$1), OFFSET($N$90,K$78,0)/OFFSET($N$90,$B92,0),0)</f>
        <v>0</v>
      </c>
      <c r="L114" s="340" t="n">
        <f aca="true">IF(AND($B92&lt;=$K$1,L$78&lt;=$K$1), OFFSET($N$90,L$78,0)/OFFSET($N$90,$B92,0),0)</f>
        <v>0</v>
      </c>
      <c r="M114" s="108"/>
      <c r="N114" s="168"/>
    </row>
    <row r="115" customFormat="false" ht="12.75" hidden="true" customHeight="false" outlineLevel="1" collapsed="false">
      <c r="A115" s="177"/>
      <c r="B115" s="236" t="n">
        <v>3</v>
      </c>
      <c r="C115" s="338"/>
      <c r="D115" s="338"/>
      <c r="E115" s="339" t="n">
        <v>1</v>
      </c>
      <c r="F115" s="340" t="n">
        <f aca="true">IF(AND($B93&lt;=$K$1,F$78&lt;=$K$1), OFFSET($N$90,F$78,0)/OFFSET($N$90,$B93,0),0)</f>
        <v>0</v>
      </c>
      <c r="G115" s="340" t="n">
        <f aca="true">IF(AND($B93&lt;=$K$1,G$78&lt;=$K$1), OFFSET($N$90,G$78,0)/OFFSET($N$90,$B93,0),0)</f>
        <v>0</v>
      </c>
      <c r="H115" s="340" t="n">
        <f aca="true">IF(AND($B93&lt;=$K$1,H$78&lt;=$K$1), OFFSET($N$90,H$78,0)/OFFSET($N$90,$B93,0),0)</f>
        <v>0</v>
      </c>
      <c r="I115" s="340" t="n">
        <f aca="true">IF(AND($B93&lt;=$K$1,I$78&lt;=$K$1), OFFSET($N$90,I$78,0)/OFFSET($N$90,$B93,0),0)</f>
        <v>0</v>
      </c>
      <c r="J115" s="340" t="n">
        <f aca="true">IF(AND($B93&lt;=$K$1,J$78&lt;=$K$1), OFFSET($N$90,J$78,0)/OFFSET($N$90,$B93,0),0)</f>
        <v>0</v>
      </c>
      <c r="K115" s="340" t="n">
        <f aca="true">IF(AND($B93&lt;=$K$1,K$78&lt;=$K$1), OFFSET($N$90,K$78,0)/OFFSET($N$90,$B93,0),0)</f>
        <v>0</v>
      </c>
      <c r="L115" s="340" t="n">
        <f aca="true">IF(AND($B93&lt;=$K$1,L$78&lt;=$K$1), OFFSET($N$90,L$78,0)/OFFSET($N$90,$B93,0),0)</f>
        <v>0</v>
      </c>
      <c r="M115" s="108"/>
      <c r="N115" s="168"/>
    </row>
    <row r="116" customFormat="false" ht="12.75" hidden="true" customHeight="false" outlineLevel="1" collapsed="false">
      <c r="A116" s="177"/>
      <c r="B116" s="236" t="n">
        <v>4</v>
      </c>
      <c r="C116" s="338"/>
      <c r="D116" s="338"/>
      <c r="E116" s="338"/>
      <c r="F116" s="339" t="n">
        <v>1</v>
      </c>
      <c r="G116" s="340" t="n">
        <f aca="true">IF(AND($B94&lt;=$K$1,G$78&lt;=$K$1), OFFSET($N$90,G$78,0)/OFFSET($N$90,$B94,0),0)</f>
        <v>0</v>
      </c>
      <c r="H116" s="340" t="n">
        <f aca="true">IF(AND($B94&lt;=$K$1,H$78&lt;=$K$1), OFFSET($N$90,H$78,0)/OFFSET($N$90,$B94,0),0)</f>
        <v>0</v>
      </c>
      <c r="I116" s="340" t="n">
        <f aca="true">IF(AND($B94&lt;=$K$1,I$78&lt;=$K$1), OFFSET($N$90,I$78,0)/OFFSET($N$90,$B94,0),0)</f>
        <v>0</v>
      </c>
      <c r="J116" s="340" t="n">
        <f aca="true">IF(AND($B94&lt;=$K$1,J$78&lt;=$K$1), OFFSET($N$90,J$78,0)/OFFSET($N$90,$B94,0),0)</f>
        <v>0</v>
      </c>
      <c r="K116" s="340" t="n">
        <f aca="true">IF(AND($B94&lt;=$K$1,K$78&lt;=$K$1), OFFSET($N$90,K$78,0)/OFFSET($N$90,$B94,0),0)</f>
        <v>0</v>
      </c>
      <c r="L116" s="340" t="n">
        <f aca="true">IF(AND($B94&lt;=$K$1,L$78&lt;=$K$1), OFFSET($N$90,L$78,0)/OFFSET($N$90,$B94,0),0)</f>
        <v>0</v>
      </c>
      <c r="M116" s="108"/>
      <c r="N116" s="168"/>
    </row>
    <row r="117" customFormat="false" ht="12.75" hidden="true" customHeight="false" outlineLevel="1" collapsed="false">
      <c r="A117" s="177"/>
      <c r="B117" s="236" t="n">
        <v>5</v>
      </c>
      <c r="C117" s="338"/>
      <c r="D117" s="338"/>
      <c r="E117" s="338"/>
      <c r="F117" s="338"/>
      <c r="G117" s="339" t="n">
        <v>1</v>
      </c>
      <c r="H117" s="340" t="n">
        <f aca="true">IF(AND($B95&lt;=$K$1,H$78&lt;=$K$1), OFFSET($N$90,H$78,0)/OFFSET($N$90,$B95,0),0)</f>
        <v>0</v>
      </c>
      <c r="I117" s="340" t="n">
        <f aca="true">IF(AND($B95&lt;=$K$1,I$78&lt;=$K$1), OFFSET($N$90,I$78,0)/OFFSET($N$90,$B95,0),0)</f>
        <v>0</v>
      </c>
      <c r="J117" s="340" t="n">
        <f aca="true">IF(AND($B95&lt;=$K$1,J$78&lt;=$K$1), OFFSET($N$90,J$78,0)/OFFSET($N$90,$B95,0),0)</f>
        <v>0</v>
      </c>
      <c r="K117" s="340" t="n">
        <f aca="true">IF(AND($B95&lt;=$K$1,K$78&lt;=$K$1), OFFSET($N$90,K$78,0)/OFFSET($N$90,$B95,0),0)</f>
        <v>0</v>
      </c>
      <c r="L117" s="340" t="n">
        <f aca="true">IF(AND($B95&lt;=$K$1,L$78&lt;=$K$1), OFFSET($N$90,L$78,0)/OFFSET($N$90,$B95,0),0)</f>
        <v>0</v>
      </c>
      <c r="M117" s="108"/>
      <c r="N117" s="168"/>
    </row>
    <row r="118" customFormat="false" ht="12.75" hidden="true" customHeight="false" outlineLevel="1" collapsed="false">
      <c r="A118" s="177"/>
      <c r="B118" s="236" t="n">
        <v>6</v>
      </c>
      <c r="C118" s="338"/>
      <c r="D118" s="338"/>
      <c r="E118" s="338"/>
      <c r="F118" s="338"/>
      <c r="G118" s="338"/>
      <c r="H118" s="339" t="n">
        <v>1</v>
      </c>
      <c r="I118" s="340" t="n">
        <f aca="true">IF(AND($B96&lt;=$K$1,I$78&lt;=$K$1), OFFSET($N$90,I$78,0)/OFFSET($N$90,$B96,0),0)</f>
        <v>0</v>
      </c>
      <c r="J118" s="340" t="n">
        <f aca="true">IF(AND($B96&lt;=$K$1,J$78&lt;=$K$1), OFFSET($N$90,J$78,0)/OFFSET($N$90,$B96,0),0)</f>
        <v>0</v>
      </c>
      <c r="K118" s="340" t="n">
        <f aca="true">IF(AND($B96&lt;=$K$1,K$78&lt;=$K$1), OFFSET($N$90,K$78,0)/OFFSET($N$90,$B96,0),0)</f>
        <v>0</v>
      </c>
      <c r="L118" s="340" t="n">
        <f aca="true">IF(AND($B96&lt;=$K$1,L$78&lt;=$K$1), OFFSET($N$90,L$78,0)/OFFSET($N$90,$B96,0),0)</f>
        <v>0</v>
      </c>
      <c r="M118" s="108"/>
      <c r="N118" s="168"/>
    </row>
    <row r="119" customFormat="false" ht="12.75" hidden="true" customHeight="false" outlineLevel="1" collapsed="false">
      <c r="A119" s="177"/>
      <c r="B119" s="236" t="n">
        <v>7</v>
      </c>
      <c r="C119" s="338"/>
      <c r="D119" s="338"/>
      <c r="E119" s="338"/>
      <c r="F119" s="338"/>
      <c r="G119" s="338"/>
      <c r="H119" s="338"/>
      <c r="I119" s="339" t="n">
        <v>1</v>
      </c>
      <c r="J119" s="340" t="n">
        <f aca="true">IF(AND($B97&lt;=$K$1,J$78&lt;=$K$1), OFFSET($N$90,J$78,0)/OFFSET($N$90,$B97,0),0)</f>
        <v>0</v>
      </c>
      <c r="K119" s="340" t="n">
        <f aca="true">IF(AND($B97&lt;=$K$1,K$78&lt;=$K$1), OFFSET($N$90,K$78,0)/OFFSET($N$90,$B97,0),0)</f>
        <v>0</v>
      </c>
      <c r="L119" s="340" t="n">
        <f aca="true">IF(AND($B97&lt;=$K$1,L$78&lt;=$K$1), OFFSET($N$90,L$78,0)/OFFSET($N$90,$B97,0),0)</f>
        <v>0</v>
      </c>
      <c r="M119" s="108"/>
      <c r="N119" s="168"/>
    </row>
    <row r="120" customFormat="false" ht="12.75" hidden="true" customHeight="false" outlineLevel="1" collapsed="false">
      <c r="A120" s="177"/>
      <c r="B120" s="236" t="n">
        <v>8</v>
      </c>
      <c r="C120" s="338"/>
      <c r="D120" s="338"/>
      <c r="E120" s="338"/>
      <c r="F120" s="338"/>
      <c r="G120" s="338"/>
      <c r="H120" s="338"/>
      <c r="I120" s="338"/>
      <c r="J120" s="339" t="n">
        <v>1</v>
      </c>
      <c r="K120" s="340" t="n">
        <f aca="true">IF(AND($B98&lt;=$K$1,K$78&lt;=$K$1), OFFSET($N$90,K$78,0)/OFFSET($N$90,$B98,0),0)</f>
        <v>0</v>
      </c>
      <c r="L120" s="340" t="n">
        <f aca="true">IF(AND($B98&lt;=$K$1,L$78&lt;=$K$1), OFFSET($N$90,L$78,0)/OFFSET($N$90,$B98,0),0)</f>
        <v>0</v>
      </c>
      <c r="M120" s="108"/>
      <c r="N120" s="168"/>
    </row>
    <row r="121" customFormat="false" ht="12.75" hidden="true" customHeight="false" outlineLevel="1" collapsed="false">
      <c r="A121" s="177"/>
      <c r="B121" s="236" t="n">
        <v>9</v>
      </c>
      <c r="C121" s="338"/>
      <c r="D121" s="338"/>
      <c r="E121" s="338"/>
      <c r="F121" s="338"/>
      <c r="G121" s="338"/>
      <c r="H121" s="338"/>
      <c r="I121" s="338"/>
      <c r="J121" s="338"/>
      <c r="K121" s="339" t="n">
        <v>1</v>
      </c>
      <c r="L121" s="340" t="n">
        <f aca="true">IF(AND($B99&lt;=$K$1,L$78&lt;=$K$1), OFFSET($N$90,L$78,0)/OFFSET($N$90,$B99,0),0)</f>
        <v>0</v>
      </c>
      <c r="M121" s="108"/>
      <c r="N121" s="168"/>
    </row>
    <row r="122" customFormat="false" ht="12.75" hidden="true" customHeight="false" outlineLevel="1" collapsed="false">
      <c r="A122" s="177"/>
      <c r="B122" s="236" t="n">
        <v>10</v>
      </c>
      <c r="C122" s="338"/>
      <c r="D122" s="338"/>
      <c r="E122" s="338"/>
      <c r="F122" s="338"/>
      <c r="G122" s="338"/>
      <c r="H122" s="338"/>
      <c r="I122" s="338"/>
      <c r="J122" s="338"/>
      <c r="K122" s="338"/>
      <c r="L122" s="339" t="n">
        <v>1</v>
      </c>
      <c r="M122" s="108"/>
      <c r="N122" s="168"/>
    </row>
    <row r="123" customFormat="false" ht="12.75" hidden="true" customHeight="false" outlineLevel="1" collapsed="false">
      <c r="A123" s="341"/>
      <c r="B123" s="59"/>
      <c r="C123" s="256" t="n">
        <v>1</v>
      </c>
      <c r="D123" s="256" t="n">
        <v>2</v>
      </c>
      <c r="E123" s="256" t="n">
        <v>3</v>
      </c>
      <c r="F123" s="256" t="n">
        <v>4</v>
      </c>
      <c r="G123" s="256" t="n">
        <v>5</v>
      </c>
      <c r="H123" s="256" t="n">
        <v>6</v>
      </c>
      <c r="I123" s="256" t="n">
        <v>7</v>
      </c>
      <c r="J123" s="256" t="n">
        <v>8</v>
      </c>
      <c r="K123" s="256" t="n">
        <v>9</v>
      </c>
      <c r="L123" s="256" t="n">
        <v>10</v>
      </c>
      <c r="M123" s="59"/>
      <c r="N123" s="342"/>
    </row>
    <row r="124" customFormat="false" ht="12.75" hidden="true" customHeight="false" outlineLevel="1" collapsed="false">
      <c r="A124" s="177"/>
      <c r="B124" s="236" t="n">
        <v>1</v>
      </c>
      <c r="C124" s="339" t="n">
        <v>1</v>
      </c>
      <c r="D124" s="340" t="str">
        <f aca="false">IF(AND($B124&lt;=$K$1,D$123&lt;=$K$1),IF(D113&gt;1,"B"&amp;TEXT(MIN(9,ROUND(D113,0)),"@"),"A"&amp;TEXT(MIN(9,ROUND(1/D113,0)),"@")),"")</f>
        <v>A1</v>
      </c>
      <c r="E124" s="340" t="str">
        <f aca="false">IF(AND($B124&lt;=$K$1,E$123&lt;=$K$1),IF(E113&gt;1,"B"&amp;TEXT(MIN(9,ROUND(E113,0)),"@"),"A"&amp;TEXT(MIN(9,ROUND(1/E113,0)),"@")),"")</f>
        <v/>
      </c>
      <c r="F124" s="340" t="str">
        <f aca="false">IF(AND($B124&lt;=$K$1,F$123&lt;=$K$1),IF(F113&gt;1,"B"&amp;TEXT(MIN(9,ROUND(F113,0)),"@"),"A"&amp;TEXT(MIN(9,ROUND(1/F113,0)),"@")),"")</f>
        <v/>
      </c>
      <c r="G124" s="340" t="str">
        <f aca="false">IF(AND($B124&lt;=$K$1,G$123&lt;=$K$1),IF(G113&gt;1,"B"&amp;TEXT(MIN(9,ROUND(G113,0)),"@"),"A"&amp;TEXT(MIN(9,ROUND(1/G113,0)),"@")),"")</f>
        <v/>
      </c>
      <c r="H124" s="340" t="str">
        <f aca="false">IF(AND($B124&lt;=$K$1,H$123&lt;=$K$1),IF(H113&gt;1,"B"&amp;TEXT(MIN(9,ROUND(H113,0)),"@"),"A"&amp;TEXT(MIN(9,ROUND(1/H113,0)),"@")),"")</f>
        <v/>
      </c>
      <c r="I124" s="340" t="str">
        <f aca="false">IF(AND($B124&lt;=$K$1,I$123&lt;=$K$1),IF(I113&gt;1,"B"&amp;TEXT(MIN(9,ROUND(I113,0)),"@"),"A"&amp;TEXT(MIN(9,ROUND(1/I113,0)),"@")),"")</f>
        <v/>
      </c>
      <c r="J124" s="340" t="str">
        <f aca="false">IF(AND($B124&lt;=$K$1,J$123&lt;=$K$1),IF(J113&gt;1,"B"&amp;TEXT(MIN(9,ROUND(J113,0)),"@"),"A"&amp;TEXT(MIN(9,ROUND(1/J113,0)),"@")),"")</f>
        <v/>
      </c>
      <c r="K124" s="340" t="str">
        <f aca="false">IF(AND($B124&lt;=$K$1,K$123&lt;=$K$1),IF(K113&gt;1,"B"&amp;TEXT(MIN(9,ROUND(K113,0)),"@"),"A"&amp;TEXT(MIN(9,ROUND(1/K113,0)),"@")),"")</f>
        <v/>
      </c>
      <c r="L124" s="340" t="str">
        <f aca="false">IF(AND($B124&lt;=$K$1,L$123&lt;=$K$1),IF(L113&gt;1,"B"&amp;TEXT(MIN(9,ROUND(L113,0)),"@"),"A"&amp;TEXT(MIN(9,ROUND(1/L113,0)),"@")),"")</f>
        <v/>
      </c>
      <c r="M124" s="108"/>
      <c r="N124" s="168"/>
    </row>
    <row r="125" customFormat="false" ht="12.75" hidden="true" customHeight="false" outlineLevel="1" collapsed="false">
      <c r="A125" s="177"/>
      <c r="B125" s="236" t="n">
        <v>2</v>
      </c>
      <c r="C125" s="338"/>
      <c r="D125" s="339" t="n">
        <v>1</v>
      </c>
      <c r="E125" s="340" t="str">
        <f aca="false">IF(AND($B125&lt;=$K$1,E$123&lt;=$K$1),IF(E114&gt;1,"B"&amp;TEXT(MIN(9,ROUND(E114,0)),"@"),"A"&amp;TEXT(MIN(9,ROUND(1/E114,0)),"@")),"")</f>
        <v/>
      </c>
      <c r="F125" s="340" t="str">
        <f aca="false">IF(AND($B125&lt;=$K$1,F$123&lt;=$K$1),IF(F114&gt;1,"B"&amp;TEXT(MIN(9,ROUND(F114,0)),"@"),"A"&amp;TEXT(MIN(9,ROUND(1/F114,0)),"@")),"")</f>
        <v/>
      </c>
      <c r="G125" s="340" t="str">
        <f aca="false">IF(AND($B125&lt;=$K$1,G$123&lt;=$K$1),IF(G114&gt;1,"B"&amp;TEXT(MIN(9,ROUND(G114,0)),"@"),"A"&amp;TEXT(MIN(9,ROUND(1/G114,0)),"@")),"")</f>
        <v/>
      </c>
      <c r="H125" s="340" t="str">
        <f aca="false">IF(AND($B125&lt;=$K$1,H$123&lt;=$K$1),IF(H114&gt;1,"B"&amp;TEXT(MIN(9,ROUND(H114,0)),"@"),"A"&amp;TEXT(MIN(9,ROUND(1/H114,0)),"@")),"")</f>
        <v/>
      </c>
      <c r="I125" s="340" t="str">
        <f aca="false">IF(AND($B125&lt;=$K$1,I$123&lt;=$K$1),IF(I114&gt;1,"B"&amp;TEXT(MIN(9,ROUND(I114,0)),"@"),"A"&amp;TEXT(MIN(9,ROUND(1/I114,0)),"@")),"")</f>
        <v/>
      </c>
      <c r="J125" s="340" t="str">
        <f aca="false">IF(AND($B125&lt;=$K$1,J$123&lt;=$K$1),IF(J114&gt;1,"B"&amp;TEXT(MIN(9,ROUND(J114,0)),"@"),"A"&amp;TEXT(MIN(9,ROUND(1/J114,0)),"@")),"")</f>
        <v/>
      </c>
      <c r="K125" s="340" t="str">
        <f aca="false">IF(AND($B125&lt;=$K$1,K$123&lt;=$K$1),IF(K114&gt;1,"B"&amp;TEXT(MIN(9,ROUND(K114,0)),"@"),"A"&amp;TEXT(MIN(9,ROUND(1/K114,0)),"@")),"")</f>
        <v/>
      </c>
      <c r="L125" s="340" t="str">
        <f aca="false">IF(AND($B125&lt;=$K$1,L$123&lt;=$K$1),IF(L114&gt;1,"B"&amp;TEXT(MIN(9,ROUND(L114,0)),"@"),"A"&amp;TEXT(MIN(9,ROUND(1/L114,0)),"@")),"")</f>
        <v/>
      </c>
      <c r="M125" s="108"/>
      <c r="N125" s="168"/>
    </row>
    <row r="126" customFormat="false" ht="12.75" hidden="true" customHeight="false" outlineLevel="1" collapsed="false">
      <c r="A126" s="177"/>
      <c r="B126" s="236" t="n">
        <v>3</v>
      </c>
      <c r="C126" s="338"/>
      <c r="D126" s="338"/>
      <c r="E126" s="339" t="n">
        <v>1</v>
      </c>
      <c r="F126" s="340" t="str">
        <f aca="false">IF(AND($B126&lt;=$K$1,F$123&lt;=$K$1),IF(F115&gt;1,"B"&amp;TEXT(MIN(9,ROUND(F115,0)),"@"),"A"&amp;TEXT(MIN(9,ROUND(1/F115,0)),"@")),"")</f>
        <v/>
      </c>
      <c r="G126" s="340" t="str">
        <f aca="false">IF(AND($B126&lt;=$K$1,G$123&lt;=$K$1),IF(G115&gt;1,"B"&amp;TEXT(MIN(9,ROUND(G115,0)),"@"),"A"&amp;TEXT(MIN(9,ROUND(1/G115,0)),"@")),"")</f>
        <v/>
      </c>
      <c r="H126" s="340" t="str">
        <f aca="false">IF(AND($B126&lt;=$K$1,H$123&lt;=$K$1),IF(H115&gt;1,"B"&amp;TEXT(MIN(9,ROUND(H115,0)),"@"),"A"&amp;TEXT(MIN(9,ROUND(1/H115,0)),"@")),"")</f>
        <v/>
      </c>
      <c r="I126" s="340" t="str">
        <f aca="false">IF(AND($B126&lt;=$K$1,I$123&lt;=$K$1),IF(I115&gt;1,"B"&amp;TEXT(MIN(9,ROUND(I115,0)),"@"),"A"&amp;TEXT(MIN(9,ROUND(1/I115,0)),"@")),"")</f>
        <v/>
      </c>
      <c r="J126" s="340" t="str">
        <f aca="false">IF(AND($B126&lt;=$K$1,J$123&lt;=$K$1),IF(J115&gt;1,"B"&amp;TEXT(MIN(9,ROUND(J115,0)),"@"),"A"&amp;TEXT(MIN(9,ROUND(1/J115,0)),"@")),"")</f>
        <v/>
      </c>
      <c r="K126" s="340" t="str">
        <f aca="false">IF(AND($B126&lt;=$K$1,K$123&lt;=$K$1),IF(K115&gt;1,"B"&amp;TEXT(MIN(9,ROUND(K115,0)),"@"),"A"&amp;TEXT(MIN(9,ROUND(1/K115,0)),"@")),"")</f>
        <v/>
      </c>
      <c r="L126" s="340" t="str">
        <f aca="false">IF(AND($B126&lt;=$K$1,L$123&lt;=$K$1),IF(L115&gt;1,"B"&amp;TEXT(MIN(9,ROUND(L115,0)),"@"),"A"&amp;TEXT(MIN(9,ROUND(1/L115,0)),"@")),"")</f>
        <v/>
      </c>
      <c r="M126" s="108"/>
      <c r="N126" s="168"/>
    </row>
    <row r="127" customFormat="false" ht="12.75" hidden="true" customHeight="false" outlineLevel="1" collapsed="false">
      <c r="A127" s="177"/>
      <c r="B127" s="236" t="n">
        <v>4</v>
      </c>
      <c r="C127" s="338"/>
      <c r="D127" s="338"/>
      <c r="E127" s="338"/>
      <c r="F127" s="339" t="n">
        <v>1</v>
      </c>
      <c r="G127" s="340" t="str">
        <f aca="false">IF(AND($B127&lt;=$K$1,G$123&lt;=$K$1),IF(G116&gt;1,"B"&amp;TEXT(MIN(9,ROUND(G116,0)),"@"),"A"&amp;TEXT(MIN(9,ROUND(1/G116,0)),"@")),"")</f>
        <v/>
      </c>
      <c r="H127" s="340" t="str">
        <f aca="false">IF(AND($B127&lt;=$K$1,H$123&lt;=$K$1),IF(H116&gt;1,"B"&amp;TEXT(MIN(9,ROUND(H116,0)),"@"),"A"&amp;TEXT(MIN(9,ROUND(1/H116,0)),"@")),"")</f>
        <v/>
      </c>
      <c r="I127" s="340" t="str">
        <f aca="false">IF(AND($B127&lt;=$K$1,I$123&lt;=$K$1),IF(I116&gt;1,"B"&amp;TEXT(MIN(9,ROUND(I116,0)),"@"),"A"&amp;TEXT(MIN(9,ROUND(1/I116,0)),"@")),"")</f>
        <v/>
      </c>
      <c r="J127" s="340" t="str">
        <f aca="false">IF(AND($B127&lt;=$K$1,J$123&lt;=$K$1),IF(J116&gt;1,"B"&amp;TEXT(MIN(9,ROUND(J116,0)),"@"),"A"&amp;TEXT(MIN(9,ROUND(1/J116,0)),"@")),"")</f>
        <v/>
      </c>
      <c r="K127" s="340" t="str">
        <f aca="false">IF(AND($B127&lt;=$K$1,K$123&lt;=$K$1),IF(K116&gt;1,"B"&amp;TEXT(MIN(9,ROUND(K116,0)),"@"),"A"&amp;TEXT(MIN(9,ROUND(1/K116,0)),"@")),"")</f>
        <v/>
      </c>
      <c r="L127" s="340" t="str">
        <f aca="false">IF(AND($B127&lt;=$K$1,L$123&lt;=$K$1),IF(L116&gt;1,"B"&amp;TEXT(MIN(9,ROUND(L116,0)),"@"),"A"&amp;TEXT(MIN(9,ROUND(1/L116,0)),"@")),"")</f>
        <v/>
      </c>
      <c r="M127" s="108"/>
      <c r="N127" s="168"/>
    </row>
    <row r="128" customFormat="false" ht="12.75" hidden="true" customHeight="false" outlineLevel="1" collapsed="false">
      <c r="A128" s="177"/>
      <c r="B128" s="236" t="n">
        <v>5</v>
      </c>
      <c r="C128" s="338"/>
      <c r="D128" s="338"/>
      <c r="E128" s="338"/>
      <c r="F128" s="338"/>
      <c r="G128" s="339" t="n">
        <v>1</v>
      </c>
      <c r="H128" s="340" t="str">
        <f aca="false">IF(AND($B128&lt;=$K$1,H$123&lt;=$K$1),IF(H117&gt;1,"B"&amp;TEXT(MIN(9,ROUND(H117,0)),"@"),"A"&amp;TEXT(MIN(9,ROUND(1/H117,0)),"@")),"")</f>
        <v/>
      </c>
      <c r="I128" s="340" t="str">
        <f aca="false">IF(AND($B128&lt;=$K$1,I$123&lt;=$K$1),IF(I117&gt;1,"B"&amp;TEXT(MIN(9,ROUND(I117,0)),"@"),"A"&amp;TEXT(MIN(9,ROUND(1/I117,0)),"@")),"")</f>
        <v/>
      </c>
      <c r="J128" s="340" t="str">
        <f aca="false">IF(AND($B128&lt;=$K$1,J$123&lt;=$K$1),IF(J117&gt;1,"B"&amp;TEXT(MIN(9,ROUND(J117,0)),"@"),"A"&amp;TEXT(MIN(9,ROUND(1/J117,0)),"@")),"")</f>
        <v/>
      </c>
      <c r="K128" s="340" t="str">
        <f aca="false">IF(AND($B128&lt;=$K$1,K$123&lt;=$K$1),IF(K117&gt;1,"B"&amp;TEXT(MIN(9,ROUND(K117,0)),"@"),"A"&amp;TEXT(MIN(9,ROUND(1/K117,0)),"@")),"")</f>
        <v/>
      </c>
      <c r="L128" s="340" t="str">
        <f aca="false">IF(AND($B128&lt;=$K$1,L$123&lt;=$K$1),IF(L117&gt;1,"B"&amp;TEXT(MIN(9,ROUND(L117,0)),"@"),"A"&amp;TEXT(MIN(9,ROUND(1/L117,0)),"@")),"")</f>
        <v/>
      </c>
      <c r="M128" s="108"/>
      <c r="N128" s="168"/>
    </row>
    <row r="129" customFormat="false" ht="12.75" hidden="true" customHeight="false" outlineLevel="1" collapsed="false">
      <c r="A129" s="177"/>
      <c r="B129" s="236" t="n">
        <v>6</v>
      </c>
      <c r="C129" s="338"/>
      <c r="D129" s="338"/>
      <c r="E129" s="338"/>
      <c r="F129" s="338"/>
      <c r="G129" s="338"/>
      <c r="H129" s="339" t="n">
        <v>1</v>
      </c>
      <c r="I129" s="340" t="str">
        <f aca="false">IF(AND($B129&lt;=$K$1,I$123&lt;=$K$1),IF(I118&gt;1,"B"&amp;TEXT(MIN(9,ROUND(I118,0)),"@"),"A"&amp;TEXT(MIN(9,ROUND(1/I118,0)),"@")),"")</f>
        <v/>
      </c>
      <c r="J129" s="340" t="str">
        <f aca="false">IF(AND($B129&lt;=$K$1,J$123&lt;=$K$1),IF(J118&gt;1,"B"&amp;TEXT(MIN(9,ROUND(J118,0)),"@"),"A"&amp;TEXT(MIN(9,ROUND(1/J118,0)),"@")),"")</f>
        <v/>
      </c>
      <c r="K129" s="340" t="str">
        <f aca="false">IF(AND($B129&lt;=$K$1,K$123&lt;=$K$1),IF(K118&gt;1,"B"&amp;TEXT(MIN(9,ROUND(K118,0)),"@"),"A"&amp;TEXT(MIN(9,ROUND(1/K118,0)),"@")),"")</f>
        <v/>
      </c>
      <c r="L129" s="340" t="str">
        <f aca="false">IF(AND($B129&lt;=$K$1,L$123&lt;=$K$1),IF(L118&gt;1,"B"&amp;TEXT(MIN(9,ROUND(L118,0)),"@"),"A"&amp;TEXT(MIN(9,ROUND(1/L118,0)),"@")),"")</f>
        <v/>
      </c>
      <c r="M129" s="108"/>
      <c r="N129" s="168"/>
    </row>
    <row r="130" customFormat="false" ht="12.75" hidden="true" customHeight="false" outlineLevel="1" collapsed="false">
      <c r="A130" s="177"/>
      <c r="B130" s="236" t="n">
        <v>7</v>
      </c>
      <c r="C130" s="338"/>
      <c r="D130" s="338"/>
      <c r="E130" s="338"/>
      <c r="F130" s="338"/>
      <c r="G130" s="338"/>
      <c r="H130" s="338"/>
      <c r="I130" s="339" t="n">
        <v>1</v>
      </c>
      <c r="J130" s="340" t="str">
        <f aca="false">IF(AND($B130&lt;=$K$1,J$123&lt;=$K$1),IF(J119&gt;1,"B"&amp;TEXT(MIN(9,ROUND(J119,0)),"@"),"A"&amp;TEXT(MIN(9,ROUND(1/J119,0)),"@")),"")</f>
        <v/>
      </c>
      <c r="K130" s="340" t="str">
        <f aca="false">IF(AND($B130&lt;=$K$1,K$123&lt;=$K$1),IF(K119&gt;1,"B"&amp;TEXT(MIN(9,ROUND(K119,0)),"@"),"A"&amp;TEXT(MIN(9,ROUND(1/K119,0)),"@")),"")</f>
        <v/>
      </c>
      <c r="L130" s="340" t="str">
        <f aca="false">IF(AND($B130&lt;=$K$1,L$123&lt;=$K$1),IF(L119&gt;1,"B"&amp;TEXT(MIN(9,ROUND(L119,0)),"@"),"A"&amp;TEXT(MIN(9,ROUND(1/L119,0)),"@")),"")</f>
        <v/>
      </c>
      <c r="M130" s="108"/>
      <c r="N130" s="168"/>
    </row>
    <row r="131" customFormat="false" ht="12.75" hidden="true" customHeight="false" outlineLevel="1" collapsed="false">
      <c r="A131" s="177"/>
      <c r="B131" s="236" t="n">
        <v>8</v>
      </c>
      <c r="C131" s="338"/>
      <c r="D131" s="338"/>
      <c r="E131" s="338"/>
      <c r="F131" s="338"/>
      <c r="G131" s="338"/>
      <c r="H131" s="338"/>
      <c r="I131" s="338"/>
      <c r="J131" s="339" t="n">
        <v>1</v>
      </c>
      <c r="K131" s="340" t="str">
        <f aca="false">IF(AND($B131&lt;=$K$1,K$123&lt;=$K$1),IF(K120&gt;1,"B"&amp;TEXT(MIN(9,ROUND(K120,0)),"@"),"A"&amp;TEXT(MIN(9,ROUND(1/K120,0)),"@")),"")</f>
        <v/>
      </c>
      <c r="L131" s="340" t="str">
        <f aca="false">IF(AND($B131&lt;=$K$1,L$123&lt;=$K$1),IF(L120&gt;1,"B"&amp;TEXT(MIN(9,ROUND(L120,0)),"@"),"A"&amp;TEXT(MIN(9,ROUND(1/L120,0)),"@")),"")</f>
        <v/>
      </c>
      <c r="M131" s="108"/>
      <c r="N131" s="168"/>
    </row>
    <row r="132" customFormat="false" ht="12.75" hidden="true" customHeight="false" outlineLevel="1" collapsed="false">
      <c r="A132" s="177"/>
      <c r="B132" s="236" t="n">
        <v>9</v>
      </c>
      <c r="C132" s="338"/>
      <c r="D132" s="338"/>
      <c r="E132" s="338"/>
      <c r="F132" s="338"/>
      <c r="G132" s="338"/>
      <c r="H132" s="338"/>
      <c r="I132" s="338"/>
      <c r="J132" s="338"/>
      <c r="K132" s="339" t="n">
        <v>1</v>
      </c>
      <c r="L132" s="340" t="str">
        <f aca="false">IF(AND($B132&lt;=$K$1,L$123&lt;=$K$1),IF(L121&gt;1,"B"&amp;TEXT(MIN(9,ROUND(L121,0)),"@"),"A"&amp;TEXT(MIN(9,ROUND(1/L121,0)),"@")),"")</f>
        <v/>
      </c>
      <c r="M132" s="108"/>
      <c r="N132" s="168"/>
    </row>
    <row r="133" customFormat="false" ht="12.75" hidden="true" customHeight="false" outlineLevel="1" collapsed="false">
      <c r="A133" s="189"/>
      <c r="B133" s="343" t="n">
        <v>10</v>
      </c>
      <c r="C133" s="344"/>
      <c r="D133" s="344"/>
      <c r="E133" s="344"/>
      <c r="F133" s="344"/>
      <c r="G133" s="344"/>
      <c r="H133" s="344"/>
      <c r="I133" s="344"/>
      <c r="J133" s="344"/>
      <c r="K133" s="344"/>
      <c r="L133" s="345" t="n">
        <v>1</v>
      </c>
      <c r="M133" s="190"/>
      <c r="N133" s="191"/>
    </row>
    <row r="1048576" customFormat="false" ht="12.8" hidden="false" customHeight="false" outlineLevel="0" collapsed="false"/>
  </sheetData>
  <sheetProtection sheet="true" objects="true" scenarios="true" selectLockedCells="true"/>
  <mergeCells count="80">
    <mergeCell ref="A4:N4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7:E17"/>
    <mergeCell ref="G17:H17"/>
    <mergeCell ref="D20:F20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2:J52"/>
    <mergeCell ref="H53:J53"/>
    <mergeCell ref="H54:J54"/>
    <mergeCell ref="H55:J55"/>
    <mergeCell ref="H56:J56"/>
    <mergeCell ref="H57:J57"/>
    <mergeCell ref="H58:J58"/>
    <mergeCell ref="H59:J59"/>
    <mergeCell ref="H60:J60"/>
    <mergeCell ref="H61:J61"/>
    <mergeCell ref="H62:J62"/>
    <mergeCell ref="H63:J63"/>
    <mergeCell ref="H64:J64"/>
    <mergeCell ref="H65:J65"/>
    <mergeCell ref="A67:C67"/>
    <mergeCell ref="D67:F67"/>
    <mergeCell ref="G67:N67"/>
    <mergeCell ref="A68:C68"/>
    <mergeCell ref="D68:F68"/>
    <mergeCell ref="G68:N68"/>
    <mergeCell ref="A69:C69"/>
    <mergeCell ref="D69:F69"/>
    <mergeCell ref="G69:N69"/>
    <mergeCell ref="A70:C70"/>
    <mergeCell ref="D70:F70"/>
    <mergeCell ref="G70:N70"/>
    <mergeCell ref="A71:C71"/>
    <mergeCell ref="D71:F71"/>
    <mergeCell ref="G71:N71"/>
    <mergeCell ref="A72:C72"/>
    <mergeCell ref="D72:F72"/>
    <mergeCell ref="G72:N72"/>
    <mergeCell ref="A73:N73"/>
    <mergeCell ref="Q77:S77"/>
  </mergeCells>
  <conditionalFormatting sqref="A79:A86 N77 C77:I77">
    <cfRule type="cellIs" priority="2" operator="equal" aboveAverage="0" equalAverage="0" bottom="0" percent="0" rank="0" text="" dxfId="660">
      <formula>"n/a"</formula>
    </cfRule>
  </conditionalFormatting>
  <conditionalFormatting sqref="K27:L27">
    <cfRule type="cellIs" priority="3" operator="equal" aboveAverage="0" equalAverage="0" bottom="0" percent="0" rank="0" text="" dxfId="661">
      <formula>""" """</formula>
    </cfRule>
  </conditionalFormatting>
  <conditionalFormatting sqref="C86:I86 C85:H85 C84:G84 C83:F83 C82:E82 C81:D81 D79:L79 F81:L81 G82:L82 H83:L83 I84:L84 E80:L80 J85:L85 K86:L86 L87 K88 C80 C87:J88">
    <cfRule type="cellIs" priority="4" operator="notEqual" aboveAverage="0" equalAverage="0" bottom="0" percent="0" rank="0" text="" dxfId="662">
      <formula>0</formula>
    </cfRule>
  </conditionalFormatting>
  <conditionalFormatting sqref="C87:J88 K88">
    <cfRule type="cellIs" priority="5" operator="notEqual" aboveAverage="0" equalAverage="0" bottom="0" percent="0" rank="0" text="" dxfId="663">
      <formula>0</formula>
    </cfRule>
  </conditionalFormatting>
  <conditionalFormatting sqref="J87:J88 K88">
    <cfRule type="cellIs" priority="6" operator="notEqual" aboveAverage="0" equalAverage="0" bottom="0" percent="0" rank="0" text="" dxfId="664">
      <formula>0</formula>
    </cfRule>
  </conditionalFormatting>
  <conditionalFormatting sqref="K88">
    <cfRule type="cellIs" priority="7" operator="notEqual" aboveAverage="0" equalAverage="0" bottom="0" percent="0" rank="0" text="" dxfId="665">
      <formula>0</formula>
    </cfRule>
  </conditionalFormatting>
  <conditionalFormatting sqref="K21:L65">
    <cfRule type="expression" priority="8" aboveAverage="0" equalAverage="0" bottom="0" percent="0" rank="0" text="" dxfId="666">
      <formula>AND($A21&gt;0,OR($K21="",$L21=""))</formula>
    </cfRule>
    <cfRule type="expression" priority="9" aboveAverage="0" equalAverage="0" bottom="0" percent="0" rank="0" text="" dxfId="667">
      <formula>($A21=0)</formula>
    </cfRule>
  </conditionalFormatting>
  <conditionalFormatting sqref="C88:K88">
    <cfRule type="cellIs" priority="10" operator="notEqual" aboveAverage="0" equalAverage="0" bottom="0" percent="0" rank="0" text="" dxfId="668">
      <formula>0</formula>
    </cfRule>
  </conditionalFormatting>
  <conditionalFormatting sqref="D81:D88 E82:E88 F83:F88 G84:G88 H85:H88 I86:I88 J87:J88 K88 C80:C88">
    <cfRule type="cellIs" priority="11" operator="notEqual" aboveAverage="0" equalAverage="0" bottom="0" percent="0" rank="0" text="" dxfId="669">
      <formula>0</formula>
    </cfRule>
  </conditionalFormatting>
  <conditionalFormatting sqref="D81:D88 E82:E88 F83:F88 G84:G88 H85:H88 I86:I88 J87:J88 K88 C80:C88">
    <cfRule type="cellIs" priority="12" operator="notEqual" aboveAverage="0" equalAverage="0" bottom="0" percent="0" rank="0" text="" dxfId="670">
      <formula>0</formula>
    </cfRule>
  </conditionalFormatting>
  <conditionalFormatting sqref="G17">
    <cfRule type="expression" priority="13" aboveAverage="0" equalAverage="0" bottom="0" percent="0" rank="0" text="" dxfId="671">
      <formula>ISBLANK($G$17)</formula>
    </cfRule>
  </conditionalFormatting>
  <conditionalFormatting sqref="C91:L100">
    <cfRule type="cellIs" priority="14" operator="equal" aboveAverage="0" equalAverage="0" bottom="0" percent="0" rank="0" text="" dxfId="672">
      <formula>0</formula>
    </cfRule>
  </conditionalFormatting>
  <conditionalFormatting sqref="N91:N100">
    <cfRule type="cellIs" priority="15" operator="equal" aboveAverage="0" equalAverage="0" bottom="0" percent="0" rank="0" text="" dxfId="673">
      <formula>0</formula>
    </cfRule>
  </conditionalFormatting>
  <conditionalFormatting sqref="B17">
    <cfRule type="expression" priority="16" aboveAverage="0" equalAverage="0" bottom="0" percent="0" rank="0" text="" dxfId="674">
      <formula>ISBLANK($B$17)</formula>
    </cfRule>
  </conditionalFormatting>
  <conditionalFormatting sqref="M17">
    <cfRule type="expression" priority="17" aboveAverage="0" equalAverage="0" bottom="0" percent="0" rank="0" text="" dxfId="675">
      <formula>$M$17&gt;$K$17</formula>
    </cfRule>
  </conditionalFormatting>
  <conditionalFormatting sqref="M21:M65">
    <cfRule type="cellIs" priority="18" operator="greaterThan" aboveAverage="0" equalAverage="0" bottom="0" percent="0" rank="0" text="" dxfId="676">
      <formula>3</formula>
    </cfRule>
    <cfRule type="cellIs" priority="19" operator="equal" aboveAverage="0" equalAverage="0" bottom="0" percent="0" rank="0" text="" dxfId="677">
      <formula>3</formula>
    </cfRule>
    <cfRule type="cellIs" priority="20" operator="equal" aboveAverage="0" equalAverage="0" bottom="0" percent="0" rank="0" text="" dxfId="678">
      <formula>2</formula>
    </cfRule>
    <cfRule type="cellIs" priority="21" operator="equal" aboveAverage="0" equalAverage="0" bottom="0" percent="0" rank="0" text="" dxfId="679">
      <formula>1</formula>
    </cfRule>
  </conditionalFormatting>
  <conditionalFormatting sqref="C102:L111">
    <cfRule type="cellIs" priority="22" operator="equal" aboveAverage="0" equalAverage="0" bottom="0" percent="0" rank="0" text="" dxfId="680">
      <formula>0</formula>
    </cfRule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86:W86 Q85:V85 Q84:U84 Q83:T83 Q82:S82 Q81:R81 R79:Z79 T81:Z81 U82:Z82 V83:Z83 W84:Z84 S80:Z80 X85:Z85 Y86:Z86 Z87 Y88 Q80 Q87:X88">
    <cfRule type="cellIs" priority="24" operator="notEqual" aboveAverage="0" equalAverage="0" bottom="0" percent="0" rank="0" text="" dxfId="681">
      <formula>0</formula>
    </cfRule>
  </conditionalFormatting>
  <conditionalFormatting sqref="Q87:X88 Y88">
    <cfRule type="cellIs" priority="25" operator="notEqual" aboveAverage="0" equalAverage="0" bottom="0" percent="0" rank="0" text="" dxfId="682">
      <formula>0</formula>
    </cfRule>
  </conditionalFormatting>
  <conditionalFormatting sqref="X87:X88 Y88">
    <cfRule type="cellIs" priority="26" operator="notEqual" aboveAverage="0" equalAverage="0" bottom="0" percent="0" rank="0" text="" dxfId="683">
      <formula>0</formula>
    </cfRule>
  </conditionalFormatting>
  <conditionalFormatting sqref="Y88">
    <cfRule type="cellIs" priority="27" operator="notEqual" aboveAverage="0" equalAverage="0" bottom="0" percent="0" rank="0" text="" dxfId="684">
      <formula>0</formula>
    </cfRule>
  </conditionalFormatting>
  <conditionalFormatting sqref="Q88:Y88">
    <cfRule type="cellIs" priority="28" operator="notEqual" aboveAverage="0" equalAverage="0" bottom="0" percent="0" rank="0" text="" dxfId="685">
      <formula>0</formula>
    </cfRule>
  </conditionalFormatting>
  <conditionalFormatting sqref="R81:R88 S82:S88 T83:T88 U84:U88 V85:V88 W86:W88 X87:X88 Y88 Q80:Q88">
    <cfRule type="cellIs" priority="29" operator="notEqual" aboveAverage="0" equalAverage="0" bottom="0" percent="0" rank="0" text="" dxfId="686">
      <formula>0</formula>
    </cfRule>
  </conditionalFormatting>
  <conditionalFormatting sqref="R81:R88 S82:S88 T83:T88 U84:U88 V85:V88 W86:W88 X87:X88 Y88 Q80:Q88">
    <cfRule type="cellIs" priority="30" operator="notEqual" aboveAverage="0" equalAverage="0" bottom="0" percent="0" rank="0" text="" dxfId="687">
      <formula>0</formula>
    </cfRule>
  </conditionalFormatting>
  <conditionalFormatting sqref="O91:P100">
    <cfRule type="cellIs" priority="31" operator="equal" aboveAverage="0" equalAverage="0" bottom="0" percent="0" rank="0" text="" dxfId="688">
      <formula>0</formula>
    </cfRule>
  </conditionalFormatting>
  <conditionalFormatting sqref="B6:F15">
    <cfRule type="expression" priority="32" aboveAverage="0" equalAverage="0" bottom="0" percent="0" rank="0" text="" dxfId="689">
      <formula>$B6&lt;&gt;""</formula>
    </cfRule>
  </conditionalFormatting>
  <conditionalFormatting sqref="G6:N15">
    <cfRule type="expression" priority="33" aboveAverage="0" equalAverage="0" bottom="0" percent="0" rank="0" text="" dxfId="690">
      <formula>$B6&lt;&gt;""</formula>
    </cfRule>
  </conditionalFormatting>
  <conditionalFormatting sqref="P6:P15">
    <cfRule type="colorScale" priority="34">
      <colorScale>
        <cfvo type="min" val="0"/>
        <cfvo type="max" val="0"/>
        <color rgb="FFFCFCFF"/>
        <color rgb="FF63BE7B"/>
      </colorScale>
    </cfRule>
  </conditionalFormatting>
  <conditionalFormatting sqref="P6:P15">
    <cfRule type="cellIs" priority="35" operator="equal" aboveAverage="0" equalAverage="0" bottom="0" percent="0" rank="0" text="" dxfId="691">
      <formula>0</formula>
    </cfRule>
  </conditionalFormatting>
  <conditionalFormatting sqref="O6:O15">
    <cfRule type="colorScale" priority="36">
      <colorScale>
        <cfvo type="min" val="0"/>
        <cfvo type="max" val="0"/>
        <color rgb="FFFCFCFF"/>
        <color rgb="FF63BE7B"/>
      </colorScale>
    </cfRule>
  </conditionalFormatting>
  <conditionalFormatting sqref="O6:O15">
    <cfRule type="cellIs" priority="37" operator="lessThan" aboveAverage="0" equalAverage="0" bottom="0" percent="0" rank="0" text="" dxfId="692">
      <formula>0.00001</formula>
    </cfRule>
  </conditionalFormatting>
  <dataValidations count="3">
    <dataValidation allowBlank="true" operator="between" showDropDown="false" showErrorMessage="true" showInputMessage="true" sqref="K21:K65 K74" type="list">
      <formula1>$O$19:$O$20</formula1>
      <formula2>0</formula2>
    </dataValidation>
    <dataValidation allowBlank="true" operator="between" showDropDown="false" showErrorMessage="true" showInputMessage="true" sqref="M66 M74" type="whole">
      <formula1>1</formula1>
      <formula2>9</formula2>
    </dataValidation>
    <dataValidation allowBlank="true" operator="between" showDropDown="false" showErrorMessage="true" showInputMessage="true" sqref="L21:L65" type="decimal">
      <formula1>1</formula1>
      <formula2>9</formula2>
    </dataValidation>
  </dataValidations>
  <printOptions headings="false" gridLines="false" gridLinesSet="true" horizontalCentered="false" verticalCentered="false"/>
  <pageMargins left="0.984027777777778" right="0.620138888888889" top="0.709722222222222" bottom="0.590277777777778" header="0.511805555555555" footer="0.4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&amp;Lhttp://bpmsg.com&amp;CAHP&amp;R&amp;D</oddHeader>
    <oddFooter>&amp;R&amp;F-&amp;A</oddFooter>
  </headerFooter>
  <rowBreaks count="1" manualBreakCount="1">
    <brk id="66" man="true" max="16383" min="0"/>
  </rowBreak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R148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9.13671875" defaultRowHeight="12" zeroHeight="false" outlineLevelRow="0" outlineLevelCol="1"/>
  <cols>
    <col collapsed="false" customWidth="true" hidden="false" outlineLevel="0" max="1" min="1" style="358" width="5.7"/>
    <col collapsed="false" customWidth="true" hidden="false" outlineLevel="0" max="11" min="2" style="358" width="4.86"/>
    <col collapsed="false" customWidth="true" hidden="false" outlineLevel="0" max="12" min="12" style="358" width="5.7"/>
    <col collapsed="false" customWidth="true" hidden="false" outlineLevel="0" max="22" min="13" style="358" width="4.86"/>
    <col collapsed="false" customWidth="true" hidden="false" outlineLevel="0" max="23" min="23" style="358" width="5.01"/>
    <col collapsed="false" customWidth="true" hidden="true" outlineLevel="1" max="33" min="24" style="358" width="4.86"/>
    <col collapsed="false" customWidth="true" hidden="true" outlineLevel="1" max="34" min="34" style="358" width="5.7"/>
    <col collapsed="false" customWidth="true" hidden="true" outlineLevel="1" max="44" min="35" style="358" width="4.86"/>
    <col collapsed="false" customWidth="false" hidden="false" outlineLevel="0" max="1024" min="45" style="358" width="9.13"/>
  </cols>
  <sheetData>
    <row r="1" customFormat="false" ht="18" hidden="false" customHeight="false" outlineLevel="0" collapsed="false">
      <c r="A1" s="359" t="s">
        <v>169</v>
      </c>
      <c r="B1" s="360"/>
      <c r="C1" s="360"/>
      <c r="F1" s="361" t="s">
        <v>170</v>
      </c>
    </row>
    <row r="2" s="2" customFormat="true" ht="12.75" hidden="false" customHeight="false" outlineLevel="0" collapsed="false">
      <c r="A2" s="2" t="s">
        <v>171</v>
      </c>
      <c r="B2" s="362"/>
      <c r="C2" s="363"/>
      <c r="D2" s="363"/>
      <c r="E2" s="363"/>
      <c r="F2" s="363" t="s">
        <v>172</v>
      </c>
      <c r="G2" s="363"/>
      <c r="H2" s="363"/>
      <c r="I2" s="363"/>
      <c r="J2" s="363"/>
      <c r="K2" s="363"/>
    </row>
    <row r="3" s="2" customFormat="true" ht="12.75" hidden="false" customHeight="false" outlineLevel="0" collapsed="false">
      <c r="A3" s="4"/>
      <c r="B3" s="362"/>
      <c r="C3" s="363"/>
      <c r="D3" s="363"/>
      <c r="E3" s="363"/>
      <c r="F3" s="363"/>
      <c r="G3" s="363"/>
      <c r="H3" s="363"/>
      <c r="I3" s="363"/>
      <c r="J3" s="363"/>
      <c r="K3" s="363"/>
    </row>
    <row r="4" s="2" customFormat="true" ht="12.75" hidden="false" customHeight="false" outlineLevel="0" collapsed="false">
      <c r="A4" s="4"/>
      <c r="B4" s="362"/>
      <c r="C4" s="363"/>
      <c r="D4" s="363"/>
      <c r="E4" s="363"/>
      <c r="F4" s="363"/>
      <c r="G4" s="363"/>
      <c r="H4" s="363"/>
      <c r="I4" s="363"/>
      <c r="J4" s="363"/>
      <c r="K4" s="363"/>
      <c r="N4" s="364" t="n">
        <f aca="false">Summary!B7</f>
        <v>1</v>
      </c>
      <c r="O4" s="2" t="s">
        <v>173</v>
      </c>
    </row>
    <row r="5" s="2" customFormat="true" ht="12.75" hidden="false" customHeight="false" outlineLevel="0" collapsed="false">
      <c r="A5" s="4"/>
      <c r="B5" s="363" t="s">
        <v>174</v>
      </c>
      <c r="C5" s="363"/>
      <c r="D5" s="363"/>
      <c r="E5" s="363"/>
      <c r="F5" s="363"/>
      <c r="G5" s="363"/>
      <c r="H5" s="363"/>
      <c r="I5" s="363"/>
      <c r="J5" s="363"/>
      <c r="K5" s="363"/>
      <c r="N5" s="364" t="n">
        <f aca="false">Summary!B5</f>
        <v>2</v>
      </c>
      <c r="O5" s="365" t="s">
        <v>175</v>
      </c>
      <c r="X5" s="2" t="s">
        <v>176</v>
      </c>
    </row>
    <row r="7" customFormat="false" ht="12.75" hidden="false" customHeight="false" outlineLevel="0" collapsed="false">
      <c r="A7" s="366" t="s">
        <v>177</v>
      </c>
      <c r="B7" s="367" t="s">
        <v>178</v>
      </c>
      <c r="C7" s="367"/>
      <c r="D7" s="367"/>
      <c r="E7" s="367"/>
      <c r="F7" s="367"/>
      <c r="G7" s="367"/>
      <c r="H7" s="367"/>
      <c r="I7" s="367"/>
      <c r="J7" s="368"/>
      <c r="K7" s="368"/>
      <c r="L7" s="369" t="n">
        <v>1</v>
      </c>
      <c r="M7" s="370" t="str">
        <f aca="true">INDIRECT(ADDRESS(17,2,1,1,"in"&amp;TEXT(L7,"@")))</f>
        <v>Participant 1</v>
      </c>
      <c r="N7" s="370"/>
      <c r="O7" s="370"/>
      <c r="P7" s="370"/>
      <c r="Q7" s="370"/>
      <c r="R7" s="370"/>
      <c r="S7" s="371" t="n">
        <f aca="true">INDIRECT(ADDRESS(17,6,1,1,"in"&amp;TEXT(L7,"@")))</f>
        <v>1</v>
      </c>
      <c r="T7" s="372"/>
      <c r="U7" s="373" t="n">
        <f aca="true">INDIRECT(ADDRESS(17,7,1,1,"in"&amp;TEXT(L7,"@")))</f>
        <v>0</v>
      </c>
      <c r="V7" s="373"/>
      <c r="X7" s="368" t="s">
        <v>179</v>
      </c>
      <c r="Y7" s="368"/>
      <c r="Z7" s="368"/>
      <c r="AA7" s="368"/>
      <c r="AB7" s="368"/>
      <c r="AC7" s="374" t="s">
        <v>180</v>
      </c>
      <c r="AD7" s="368" t="n">
        <f aca="false">SUM(w_p1,w_p2,w_p3,w_p4,w_p5,w_p6,w_p7,w_p8,w_p9,w_p10,w_p11,w_p12,w_p13,w_p14,w_p15,w_p16,w_p17,w_p18,w_p19,w_p20)</f>
        <v>1</v>
      </c>
      <c r="AE7" s="368"/>
      <c r="AF7" s="368"/>
      <c r="AG7" s="368"/>
      <c r="AH7" s="369"/>
      <c r="AI7" s="370"/>
      <c r="AJ7" s="370"/>
      <c r="AK7" s="370"/>
      <c r="AL7" s="370"/>
      <c r="AM7" s="370"/>
      <c r="AN7" s="370"/>
      <c r="AO7" s="375" t="n">
        <f aca="false">IF(L7&gt;$N$4,0,IF(S7=0,1,S7))</f>
        <v>1</v>
      </c>
      <c r="AP7" s="372"/>
      <c r="AQ7" s="373"/>
      <c r="AR7" s="373"/>
    </row>
    <row r="8" customFormat="false" ht="12" hidden="false" customHeight="false" outlineLevel="0" collapsed="false">
      <c r="B8" s="376" t="n">
        <v>1</v>
      </c>
      <c r="C8" s="376" t="n">
        <v>2</v>
      </c>
      <c r="D8" s="376" t="n">
        <v>3</v>
      </c>
      <c r="E8" s="376" t="n">
        <v>4</v>
      </c>
      <c r="F8" s="376" t="n">
        <v>5</v>
      </c>
      <c r="G8" s="376" t="n">
        <v>6</v>
      </c>
      <c r="H8" s="376" t="n">
        <v>7</v>
      </c>
      <c r="I8" s="376" t="n">
        <v>8</v>
      </c>
      <c r="J8" s="376" t="n">
        <v>9</v>
      </c>
      <c r="K8" s="376" t="n">
        <v>10</v>
      </c>
      <c r="M8" s="376" t="n">
        <v>1</v>
      </c>
      <c r="N8" s="376" t="n">
        <v>2</v>
      </c>
      <c r="O8" s="376" t="n">
        <v>3</v>
      </c>
      <c r="P8" s="376" t="n">
        <v>4</v>
      </c>
      <c r="Q8" s="376" t="n">
        <v>5</v>
      </c>
      <c r="R8" s="376" t="n">
        <v>6</v>
      </c>
      <c r="S8" s="376" t="n">
        <v>7</v>
      </c>
      <c r="T8" s="376" t="n">
        <v>8</v>
      </c>
      <c r="U8" s="358" t="n">
        <v>9</v>
      </c>
      <c r="V8" s="358" t="n">
        <v>10</v>
      </c>
      <c r="X8" s="376"/>
      <c r="Y8" s="376"/>
      <c r="Z8" s="376"/>
      <c r="AA8" s="376"/>
      <c r="AB8" s="376"/>
      <c r="AC8" s="376"/>
      <c r="AD8" s="376"/>
      <c r="AE8" s="376"/>
      <c r="AF8" s="376"/>
      <c r="AG8" s="376"/>
      <c r="AI8" s="376"/>
      <c r="AJ8" s="376"/>
      <c r="AK8" s="376"/>
      <c r="AL8" s="376"/>
      <c r="AM8" s="376"/>
      <c r="AN8" s="376"/>
      <c r="AO8" s="376"/>
      <c r="AP8" s="376"/>
    </row>
    <row r="9" customFormat="false" ht="12" hidden="false" customHeight="false" outlineLevel="0" collapsed="false">
      <c r="A9" s="358" t="n">
        <v>1</v>
      </c>
      <c r="B9" s="349"/>
      <c r="C9" s="377" t="n">
        <f aca="false">IF((C$8&gt;$N$5)+($A9&gt;$N$5),0,EXP(Y9))</f>
        <v>1</v>
      </c>
      <c r="D9" s="377" t="n">
        <f aca="false">IF((D$8&gt;$N$5)+($A9&gt;$N$5),0,EXP(Z9))</f>
        <v>0</v>
      </c>
      <c r="E9" s="377" t="n">
        <f aca="false">IF((E$8&gt;$N$5)+($A9&gt;$N$5),0,EXP(AA9))</f>
        <v>0</v>
      </c>
      <c r="F9" s="377" t="n">
        <f aca="false">IF((F$8&gt;$N$5)+($A9&gt;$N$5),0,EXP(AB9))</f>
        <v>0</v>
      </c>
      <c r="G9" s="377" t="n">
        <f aca="false">IF((G$8&gt;$N$5)+($A9&gt;$N$5),0,EXP(AC9))</f>
        <v>0</v>
      </c>
      <c r="H9" s="377" t="n">
        <f aca="false">IF((H$8&gt;$N$5)+($A9&gt;$N$5),0,EXP(AD9))</f>
        <v>0</v>
      </c>
      <c r="I9" s="377" t="n">
        <f aca="false">IF((I$8&gt;$N$5)+($A9&gt;$N$5),0,EXP(AE9))</f>
        <v>0</v>
      </c>
      <c r="J9" s="377" t="n">
        <f aca="false">IF((J$8&gt;$N$5)+($A9&gt;$N$5),0,EXP(AF9))</f>
        <v>0</v>
      </c>
      <c r="K9" s="377" t="n">
        <f aca="false">IF((K$8&gt;$N$5)+($A9&gt;$N$5),0,EXP(AG9))</f>
        <v>0</v>
      </c>
      <c r="L9" s="358" t="n">
        <v>1</v>
      </c>
      <c r="M9" s="378" t="n">
        <f aca="false" t="array" ref="M9:V18">Matrix1</f>
        <v>1</v>
      </c>
      <c r="N9" s="379" t="n">
        <v>1</v>
      </c>
      <c r="O9" s="379" t="n">
        <v>0</v>
      </c>
      <c r="P9" s="379" t="n">
        <v>0</v>
      </c>
      <c r="Q9" s="379" t="n">
        <v>0</v>
      </c>
      <c r="R9" s="379" t="n">
        <v>0</v>
      </c>
      <c r="S9" s="379" t="n">
        <v>0</v>
      </c>
      <c r="T9" s="379" t="n">
        <v>0</v>
      </c>
      <c r="U9" s="379" t="n">
        <v>0</v>
      </c>
      <c r="V9" s="379" t="n">
        <v>0</v>
      </c>
      <c r="X9" s="349"/>
      <c r="Y9" s="377" t="n">
        <f aca="false">SUM(w_p1*AJ9,w_p2*Y22,w_p3*AJ22,w_p4*Y35,w_p5*AJ35,w_p6*Y48,w_p7*AJ48,w_p8*Y61,w_p9*AJ61,w_p10*Y74,w_p11*AJ74,w_p12*Y87,w_p13*AJ87,w_p14*Y100,w_p15*AJ100,w_p16*Y113,w_p17*AJ113,w_p18*Y126,w_p19*AJ126,w_p20*Y139)/$AD$7</f>
        <v>0</v>
      </c>
      <c r="Z9" s="377" t="e">
        <f aca="false">SUM(w_p1*AK9,w_p2*Z22,w_p3*AK22,w_p4*Z35,w_p5*AK35,w_p6*Z48,w_p7*AK48,w_p8*Z61,w_p9*AK61,w_p10*Z74,w_p11*AK74,w_p12*Z87,w_p13*AK87,w_p14*Z100,w_p15*AK100,w_p16*Z113,w_p17*AK113,w_p18*Z126,w_p19*AK126,w_p20*Z139)/$AD$7</f>
        <v>#VALUE!</v>
      </c>
      <c r="AA9" s="377" t="e">
        <f aca="false">SUM(w_p1*AL9,w_p2*AA22,w_p3*AL22,w_p4*AA35,w_p5*AL35,w_p6*AA48,w_p7*AL48,w_p8*AA61,w_p9*AL61,w_p10*AA74,w_p11*AL74,w_p12*AA87,w_p13*AL87,w_p14*AA100,w_p15*AL100,w_p16*AA113,w_p17*AL113,w_p18*AA126,w_p19*AL126,w_p20*AA139)/$AD$7</f>
        <v>#VALUE!</v>
      </c>
      <c r="AB9" s="377" t="e">
        <f aca="false">SUM(w_p1*AM9,w_p2*AB22,w_p3*AM22,w_p4*AB35,w_p5*AM35,w_p6*AB48,w_p7*AM48,w_p8*AB61,w_p9*AM61,w_p10*AB74,w_p11*AM74,w_p12*AB87,w_p13*AM87,w_p14*AB100,w_p15*AM100,w_p16*AB113,w_p17*AM113,w_p18*AB126,w_p19*AM126,w_p20*AB139)/$AD$7</f>
        <v>#VALUE!</v>
      </c>
      <c r="AC9" s="377" t="e">
        <f aca="false">SUM(w_p1*AN9,w_p2*AC22,w_p3*AN22,w_p4*AC35,w_p5*AN35,w_p6*AC48,w_p7*AN48,w_p8*AC61,w_p9*AN61,w_p10*AC74,w_p11*AN74,w_p12*AC87,w_p13*AN87,w_p14*AC100,w_p15*AN100,w_p16*AC113,w_p17*AN113,w_p18*AC126,w_p19*AN126,w_p20*AC139)/$AD$7</f>
        <v>#VALUE!</v>
      </c>
      <c r="AD9" s="377" t="e">
        <f aca="false">SUM(w_p1*AO9,w_p2*AD22,w_p3*AO22,w_p4*AD35,w_p5*AO35,w_p6*AD48,w_p7*AO48,w_p8*AD61,w_p9*AO61,w_p10*AD74,w_p11*AO74,w_p12*AD87,w_p13*AO87,w_p14*AD100,w_p15*AO100,w_p16*AD113,w_p17*AO113,w_p18*AD126,w_p19*AO126,w_p20*AD139)/$AD$7</f>
        <v>#VALUE!</v>
      </c>
      <c r="AE9" s="377" t="e">
        <f aca="false">SUM(w_p1*AP9,w_p2*AE22,w_p3*AP22,w_p4*AE35,w_p5*AP35,w_p6*AE48,w_p7*AP48,w_p8*AE61,w_p9*AP61,w_p10*AE74,w_p11*AP74,w_p12*AE87,w_p13*AP87,w_p14*AE100,w_p15*AP100,w_p16*AE113,w_p17*AP113,w_p18*AE126,w_p19*AP126,w_p20*AE139)/$AD$7</f>
        <v>#VALUE!</v>
      </c>
      <c r="AF9" s="377" t="e">
        <f aca="false">SUM(w_p1*AQ9,w_p2*AF22,w_p3*AQ22,w_p4*AF35,w_p5*AQ35,w_p6*AF48,w_p7*AQ48,w_p8*AF61,w_p9*AQ61,w_p10*AF74,w_p11*AQ74,w_p12*AF87,w_p13*AQ87,w_p14*AF100,w_p15*AQ100,w_p16*AF113,w_p17*AQ113,w_p18*AF126,w_p19*AQ126,w_p20*AF139)/$AD$7</f>
        <v>#VALUE!</v>
      </c>
      <c r="AG9" s="377" t="e">
        <f aca="false">SUM(w_p1*AR9,w_p2*AG22,w_p3*AR22,w_p4*AG35,w_p5*AR35,w_p6*AG48,w_p7*AR48,w_p8*AG61,w_p9*AR61,w_p10*AG74,w_p11*AR74,w_p12*AG87,w_p13*AR87,w_p14*AG100,w_p15*AR100,w_p16*AG113,w_p17*AR113,w_p18*AG126,w_p19*AR126,w_p20*AG139)/$AD$7</f>
        <v>#VALUE!</v>
      </c>
      <c r="AI9" s="380"/>
      <c r="AJ9" s="381" t="n">
        <f aca="false">IF(N9=0,0,LN(N9))</f>
        <v>0</v>
      </c>
      <c r="AK9" s="381" t="str">
        <f aca="false">IF(O9=0,"",LN(O9))</f>
        <v/>
      </c>
      <c r="AL9" s="381" t="str">
        <f aca="false">IF(P9=0,"",LN(P9))</f>
        <v/>
      </c>
      <c r="AM9" s="381" t="str">
        <f aca="false">IF(Q9=0,"",LN(Q9))</f>
        <v/>
      </c>
      <c r="AN9" s="381" t="str">
        <f aca="false">IF(R9=0,"",LN(R9))</f>
        <v/>
      </c>
      <c r="AO9" s="381" t="str">
        <f aca="false">IF(S9=0,"",LN(S9))</f>
        <v/>
      </c>
      <c r="AP9" s="381" t="str">
        <f aca="false">IF(T9=0,"",LN(T9))</f>
        <v/>
      </c>
      <c r="AQ9" s="381" t="str">
        <f aca="false">IF(U9=0,"",LN(U9))</f>
        <v/>
      </c>
      <c r="AR9" s="381" t="str">
        <f aca="false">IF(V9=0,"",LN(V9))</f>
        <v/>
      </c>
    </row>
    <row r="10" customFormat="false" ht="12" hidden="false" customHeight="false" outlineLevel="0" collapsed="false">
      <c r="A10" s="358" t="n">
        <v>2</v>
      </c>
      <c r="B10" s="377" t="n">
        <f aca="false">IF(($A10&gt;$N$5)+(B$8&gt;$N$5),0,1/INDEX(m_p0,B$8,$A10))</f>
        <v>1</v>
      </c>
      <c r="C10" s="349"/>
      <c r="D10" s="377" t="n">
        <f aca="false">IF((D$8&gt;$N$5)+($A10&gt;$N$5),0,EXP(Z10))</f>
        <v>0</v>
      </c>
      <c r="E10" s="377" t="n">
        <f aca="false">IF((E$8&gt;$N$5)+($A10&gt;$N$5),0,EXP(AA10))</f>
        <v>0</v>
      </c>
      <c r="F10" s="377" t="n">
        <f aca="false">IF((F$8&gt;$N$5)+($A10&gt;$N$5),0,EXP(AB10))</f>
        <v>0</v>
      </c>
      <c r="G10" s="377" t="n">
        <f aca="false">IF((G$8&gt;$N$5)+($A10&gt;$N$5),0,EXP(AC10))</f>
        <v>0</v>
      </c>
      <c r="H10" s="377" t="n">
        <f aca="false">IF((H$8&gt;$N$5)+($A10&gt;$N$5),0,EXP(AD10))</f>
        <v>0</v>
      </c>
      <c r="I10" s="377" t="n">
        <f aca="false">IF((I$8&gt;$N$5)+($A10&gt;$N$5),0,EXP(AE10))</f>
        <v>0</v>
      </c>
      <c r="J10" s="377" t="n">
        <f aca="false">IF((J$8&gt;$N$5)+($A10&gt;$N$5),0,EXP(AF10))</f>
        <v>0</v>
      </c>
      <c r="K10" s="377" t="n">
        <f aca="false">IF((K$8&gt;$N$5)+($A10&gt;$N$5),0,EXP(AG10))</f>
        <v>0</v>
      </c>
      <c r="L10" s="358" t="n">
        <v>2</v>
      </c>
      <c r="M10" s="379" t="n">
        <v>1</v>
      </c>
      <c r="N10" s="378" t="n">
        <v>1</v>
      </c>
      <c r="O10" s="379" t="n">
        <v>0</v>
      </c>
      <c r="P10" s="379" t="n">
        <v>0</v>
      </c>
      <c r="Q10" s="379" t="n">
        <v>0</v>
      </c>
      <c r="R10" s="379" t="n">
        <v>0</v>
      </c>
      <c r="S10" s="379" t="n">
        <v>0</v>
      </c>
      <c r="T10" s="379" t="n">
        <v>0</v>
      </c>
      <c r="U10" s="379" t="n">
        <v>0</v>
      </c>
      <c r="V10" s="379" t="n">
        <v>0</v>
      </c>
      <c r="X10" s="377"/>
      <c r="Y10" s="349"/>
      <c r="Z10" s="377" t="e">
        <f aca="false">SUM(w_p1*AK10,w_p2*Z23,w_p3*AK23,w_p4*Z36,w_p5*AK36,w_p6*Z49,w_p7*AK49,w_p8*Z62,w_p9*AK62,w_p10*Z75,w_p11*AK75,w_p12*Z88,w_p13*AK88,w_p14*Z101,w_p15*AK101,w_p16*Z114,w_p17*AK114,w_p18*Z127,w_p19*AK127,w_p20*Z140)/$AD$7</f>
        <v>#VALUE!</v>
      </c>
      <c r="AA10" s="377" t="e">
        <f aca="false">SUM(w_p1*AL10,w_p2*AA23,w_p3*AL23,w_p4*AA36,w_p5*AL36,w_p6*AA49,w_p7*AL49,w_p8*AA62,w_p9*AL62,w_p10*AA75,w_p11*AL75,w_p12*AA88,w_p13*AL88,w_p14*AA101,w_p15*AL101,w_p16*AA114,w_p17*AL114,w_p18*AA127,w_p19*AL127,w_p20*AA140)/$AD$7</f>
        <v>#VALUE!</v>
      </c>
      <c r="AB10" s="377" t="e">
        <f aca="false">SUM(w_p1*AM10,w_p2*AB23,w_p3*AM23,w_p4*AB36,w_p5*AM36,w_p6*AB49,w_p7*AM49,w_p8*AB62,w_p9*AM62,w_p10*AB75,w_p11*AM75,w_p12*AB88,w_p13*AM88,w_p14*AB101,w_p15*AM101,w_p16*AB114,w_p17*AM114,w_p18*AB127,w_p19*AM127,w_p20*AB140)/$AD$7</f>
        <v>#VALUE!</v>
      </c>
      <c r="AC10" s="377" t="e">
        <f aca="false">SUM(w_p1*AN10,w_p2*AC23,w_p3*AN23,w_p4*AC36,w_p5*AN36,w_p6*AC49,w_p7*AN49,w_p8*AC62,w_p9*AN62,w_p10*AC75,w_p11*AN75,w_p12*AC88,w_p13*AN88,w_p14*AC101,w_p15*AN101,w_p16*AC114,w_p17*AN114,w_p18*AC127,w_p19*AN127,w_p20*AC140)/$AD$7</f>
        <v>#VALUE!</v>
      </c>
      <c r="AD10" s="377" t="e">
        <f aca="false">SUM(w_p1*AO10,w_p2*AD23,w_p3*AO23,w_p4*AD36,w_p5*AO36,w_p6*AD49,w_p7*AO49,w_p8*AD62,w_p9*AO62,w_p10*AD75,w_p11*AO75,w_p12*AD88,w_p13*AO88,w_p14*AD101,w_p15*AO101,w_p16*AD114,w_p17*AO114,w_p18*AD127,w_p19*AO127,w_p20*AD140)/$AD$7</f>
        <v>#VALUE!</v>
      </c>
      <c r="AE10" s="377" t="e">
        <f aca="false">SUM(w_p1*AP10,w_p2*AE23,w_p3*AP23,w_p4*AE36,w_p5*AP36,w_p6*AE49,w_p7*AP49,w_p8*AE62,w_p9*AP62,w_p10*AE75,w_p11*AP75,w_p12*AE88,w_p13*AP88,w_p14*AE101,w_p15*AP101,w_p16*AE114,w_p17*AP114,w_p18*AE127,w_p19*AP127,w_p20*AE140)/$AD$7</f>
        <v>#VALUE!</v>
      </c>
      <c r="AF10" s="377" t="e">
        <f aca="false">SUM(w_p1*AQ10,w_p2*AF23,w_p3*AQ23,w_p4*AF36,w_p5*AQ36,w_p6*AF49,w_p7*AQ49,w_p8*AF62,w_p9*AQ62,w_p10*AF75,w_p11*AQ75,w_p12*AF88,w_p13*AQ88,w_p14*AF101,w_p15*AQ101,w_p16*AF114,w_p17*AQ114,w_p18*AF127,w_p19*AQ127,w_p20*AF140)/$AD$7</f>
        <v>#VALUE!</v>
      </c>
      <c r="AG10" s="377" t="e">
        <f aca="false">SUM(w_p1*AR10,w_p2*AG23,w_p3*AR23,w_p4*AG36,w_p5*AR36,w_p6*AG49,w_p7*AR49,w_p8*AG62,w_p9*AR62,w_p10*AG75,w_p11*AR75,w_p12*AG88,w_p13*AR88,w_p14*AG101,w_p15*AR101,w_p16*AG114,w_p17*AR114,w_p18*AG127,w_p19*AR127,w_p20*AG140)/$AD$7</f>
        <v>#VALUE!</v>
      </c>
      <c r="AI10" s="381"/>
      <c r="AJ10" s="380"/>
      <c r="AK10" s="381" t="str">
        <f aca="false">IF(O10=0,"",LN(O10))</f>
        <v/>
      </c>
      <c r="AL10" s="381" t="str">
        <f aca="false">IF(P10=0,"",LN(P10))</f>
        <v/>
      </c>
      <c r="AM10" s="381" t="str">
        <f aca="false">IF(Q10=0,"",LN(Q10))</f>
        <v/>
      </c>
      <c r="AN10" s="381" t="str">
        <f aca="false">IF(R10=0,"",LN(R10))</f>
        <v/>
      </c>
      <c r="AO10" s="381" t="str">
        <f aca="false">IF(S10=0,"",LN(S10))</f>
        <v/>
      </c>
      <c r="AP10" s="381" t="str">
        <f aca="false">IF(T10=0,"",LN(T10))</f>
        <v/>
      </c>
      <c r="AQ10" s="381" t="str">
        <f aca="false">IF(U10=0,"",LN(U10))</f>
        <v/>
      </c>
      <c r="AR10" s="381" t="str">
        <f aca="false">IF(V10=0,"",LN(V10))</f>
        <v/>
      </c>
    </row>
    <row r="11" customFormat="false" ht="12" hidden="false" customHeight="false" outlineLevel="0" collapsed="false">
      <c r="A11" s="358" t="n">
        <v>3</v>
      </c>
      <c r="B11" s="377" t="n">
        <f aca="false">IF(($A11&gt;$N$5)+(B$8&gt;$N$5),0,1/INDEX(m_p0,B$8,$A11))</f>
        <v>0</v>
      </c>
      <c r="C11" s="377" t="n">
        <f aca="false">IF(($A11&gt;$N$5)+(C$8&gt;$N$5),0,1/INDEX(m_p0,C$8,$A11))</f>
        <v>0</v>
      </c>
      <c r="D11" s="349"/>
      <c r="E11" s="377" t="n">
        <f aca="false">IF((E$8&gt;$N$5)+($A11&gt;$N$5),0,EXP(AA11))</f>
        <v>0</v>
      </c>
      <c r="F11" s="377" t="n">
        <f aca="false">IF((F$8&gt;$N$5)+($A11&gt;$N$5),0,EXP(AB11))</f>
        <v>0</v>
      </c>
      <c r="G11" s="377" t="n">
        <f aca="false">IF((G$8&gt;$N$5)+($A11&gt;$N$5),0,EXP(AC11))</f>
        <v>0</v>
      </c>
      <c r="H11" s="377" t="n">
        <f aca="false">IF((H$8&gt;$N$5)+($A11&gt;$N$5),0,EXP(AD11))</f>
        <v>0</v>
      </c>
      <c r="I11" s="377" t="n">
        <f aca="false">IF((I$8&gt;$N$5)+($A11&gt;$N$5),0,EXP(AE11))</f>
        <v>0</v>
      </c>
      <c r="J11" s="377" t="n">
        <f aca="false">IF((J$8&gt;$N$5)+($A11&gt;$N$5),0,EXP(AF11))</f>
        <v>0</v>
      </c>
      <c r="K11" s="377" t="n">
        <f aca="false">IF((K$8&gt;$N$5)+($A11&gt;$N$5),0,EXP(AG11))</f>
        <v>0</v>
      </c>
      <c r="L11" s="358" t="n">
        <v>3</v>
      </c>
      <c r="M11" s="379" t="n">
        <v>0</v>
      </c>
      <c r="N11" s="379" t="n">
        <v>0</v>
      </c>
      <c r="O11" s="378" t="n">
        <v>1</v>
      </c>
      <c r="P11" s="379" t="n">
        <v>0</v>
      </c>
      <c r="Q11" s="379" t="n">
        <v>0</v>
      </c>
      <c r="R11" s="379" t="n">
        <v>0</v>
      </c>
      <c r="S11" s="379" t="n">
        <v>0</v>
      </c>
      <c r="T11" s="379" t="n">
        <v>0</v>
      </c>
      <c r="U11" s="379" t="n">
        <v>0</v>
      </c>
      <c r="V11" s="379" t="n">
        <v>0</v>
      </c>
      <c r="X11" s="377"/>
      <c r="Y11" s="377"/>
      <c r="Z11" s="349"/>
      <c r="AA11" s="377" t="e">
        <f aca="false">SUM(w_p1*AL11,w_p2*AA24,w_p3*AL24,w_p4*AA37,w_p5*AL37,w_p6*AA50,w_p7*AL50,w_p8*AA63,w_p9*AL63,w_p10*AA76,w_p11*AL76,w_p12*AA89,w_p13*AL89,w_p14*AA102,w_p15*AL102,w_p16*AA115,w_p17*AL115,w_p18*AA128,w_p19*AL128,w_p20*AA141)/$AD$7</f>
        <v>#VALUE!</v>
      </c>
      <c r="AB11" s="377" t="e">
        <f aca="false">SUM(w_p1*AM11,w_p2*AB24,w_p3*AM24,w_p4*AB37,w_p5*AM37,w_p6*AB50,w_p7*AM50,w_p8*AB63,w_p9*AM63,w_p10*AB76,w_p11*AM76,w_p12*AB89,w_p13*AM89,w_p14*AB102,w_p15*AM102,w_p16*AB115,w_p17*AM115,w_p18*AB128,w_p19*AM128,w_p20*AB141)/$AD$7</f>
        <v>#VALUE!</v>
      </c>
      <c r="AC11" s="377" t="e">
        <f aca="false">SUM(w_p1*AN11,w_p2*AC24,w_p3*AN24,w_p4*AC37,w_p5*AN37,w_p6*AC50,w_p7*AN50,w_p8*AC63,w_p9*AN63,w_p10*AC76,w_p11*AN76,w_p12*AC89,w_p13*AN89,w_p14*AC102,w_p15*AN102,w_p16*AC115,w_p17*AN115,w_p18*AC128,w_p19*AN128,w_p20*AC141)/$AD$7</f>
        <v>#VALUE!</v>
      </c>
      <c r="AD11" s="377" t="e">
        <f aca="false">SUM(w_p1*AO11,w_p2*AD24,w_p3*AO24,w_p4*AD37,w_p5*AO37,w_p6*AD50,w_p7*AO50,w_p8*AD63,w_p9*AO63,w_p10*AD76,w_p11*AO76,w_p12*AD89,w_p13*AO89,w_p14*AD102,w_p15*AO102,w_p16*AD115,w_p17*AO115,w_p18*AD128,w_p19*AO128,w_p20*AD141)/$AD$7</f>
        <v>#VALUE!</v>
      </c>
      <c r="AE11" s="377" t="e">
        <f aca="false">SUM(w_p1*AP11,w_p2*AE24,w_p3*AP24,w_p4*AE37,w_p5*AP37,w_p6*AE50,w_p7*AP50,w_p8*AE63,w_p9*AP63,w_p10*AE76,w_p11*AP76,w_p12*AE89,w_p13*AP89,w_p14*AE102,w_p15*AP102,w_p16*AE115,w_p17*AP115,w_p18*AE128,w_p19*AP128,w_p20*AE141)/$AD$7</f>
        <v>#VALUE!</v>
      </c>
      <c r="AF11" s="377" t="e">
        <f aca="false">SUM(w_p1*AQ11,w_p2*AF24,w_p3*AQ24,w_p4*AF37,w_p5*AQ37,w_p6*AF50,w_p7*AQ50,w_p8*AF63,w_p9*AQ63,w_p10*AF76,w_p11*AQ76,w_p12*AF89,w_p13*AQ89,w_p14*AF102,w_p15*AQ102,w_p16*AF115,w_p17*AQ115,w_p18*AF128,w_p19*AQ128,w_p20*AF141)/$AD$7</f>
        <v>#VALUE!</v>
      </c>
      <c r="AG11" s="377" t="e">
        <f aca="false">SUM(w_p1*AR11,w_p2*AG24,w_p3*AR24,w_p4*AG37,w_p5*AR37,w_p6*AG50,w_p7*AR50,w_p8*AG63,w_p9*AR63,w_p10*AG76,w_p11*AR76,w_p12*AG89,w_p13*AR89,w_p14*AG102,w_p15*AR102,w_p16*AG115,w_p17*AR115,w_p18*AG128,w_p19*AR128,w_p20*AG141)/$AD$7</f>
        <v>#VALUE!</v>
      </c>
      <c r="AI11" s="381"/>
      <c r="AJ11" s="381"/>
      <c r="AK11" s="380"/>
      <c r="AL11" s="381" t="str">
        <f aca="false">IF(P11=0,"",LN(P11))</f>
        <v/>
      </c>
      <c r="AM11" s="381" t="str">
        <f aca="false">IF(Q11=0,"",LN(Q11))</f>
        <v/>
      </c>
      <c r="AN11" s="381" t="str">
        <f aca="false">IF(R11=0,"",LN(R11))</f>
        <v/>
      </c>
      <c r="AO11" s="381" t="str">
        <f aca="false">IF(S11=0,"",LN(S11))</f>
        <v/>
      </c>
      <c r="AP11" s="381" t="str">
        <f aca="false">IF(T11=0,"",LN(T11))</f>
        <v/>
      </c>
      <c r="AQ11" s="381" t="str">
        <f aca="false">IF(U11=0,"",LN(U11))</f>
        <v/>
      </c>
      <c r="AR11" s="381" t="str">
        <f aca="false">IF(V11=0,"",LN(V11))</f>
        <v/>
      </c>
    </row>
    <row r="12" customFormat="false" ht="12" hidden="false" customHeight="false" outlineLevel="0" collapsed="false">
      <c r="A12" s="358" t="n">
        <v>4</v>
      </c>
      <c r="B12" s="377" t="n">
        <f aca="false">IF(($A12&gt;$N$5)+(B$8&gt;$N$5),0,1/INDEX(m_p0,B$8,$A12))</f>
        <v>0</v>
      </c>
      <c r="C12" s="377" t="n">
        <f aca="false">IF(($A12&gt;$N$5)+(C$8&gt;$N$5),0,1/INDEX(m_p0,C$8,$A12))</f>
        <v>0</v>
      </c>
      <c r="D12" s="377" t="n">
        <f aca="false">IF(($A12&gt;$N$5)+(D$8&gt;$N$5),0,1/INDEX(m_p0,D$8,$A12))</f>
        <v>0</v>
      </c>
      <c r="E12" s="349"/>
      <c r="F12" s="377" t="n">
        <f aca="false">IF((F$8&gt;$N$5)+($A12&gt;$N$5),0,EXP(AB12))</f>
        <v>0</v>
      </c>
      <c r="G12" s="377" t="n">
        <f aca="false">IF((G$8&gt;$N$5)+($A12&gt;$N$5),0,EXP(AC12))</f>
        <v>0</v>
      </c>
      <c r="H12" s="377" t="n">
        <f aca="false">IF((H$8&gt;$N$5)+($A12&gt;$N$5),0,EXP(AD12))</f>
        <v>0</v>
      </c>
      <c r="I12" s="377" t="n">
        <f aca="false">IF((I$8&gt;$N$5)+($A12&gt;$N$5),0,EXP(AE12))</f>
        <v>0</v>
      </c>
      <c r="J12" s="377" t="n">
        <f aca="false">IF((J$8&gt;$N$5)+($A12&gt;$N$5),0,EXP(AF12))</f>
        <v>0</v>
      </c>
      <c r="K12" s="377" t="n">
        <f aca="false">IF((K$8&gt;$N$5)+($A12&gt;$N$5),0,EXP(AG12))</f>
        <v>0</v>
      </c>
      <c r="L12" s="358" t="n">
        <v>4</v>
      </c>
      <c r="M12" s="379" t="n">
        <v>0</v>
      </c>
      <c r="N12" s="379" t="n">
        <v>0</v>
      </c>
      <c r="O12" s="379" t="n">
        <v>0</v>
      </c>
      <c r="P12" s="378" t="n">
        <v>1</v>
      </c>
      <c r="Q12" s="379" t="n">
        <v>0</v>
      </c>
      <c r="R12" s="379" t="n">
        <v>0</v>
      </c>
      <c r="S12" s="379" t="n">
        <v>0</v>
      </c>
      <c r="T12" s="379" t="n">
        <v>0</v>
      </c>
      <c r="U12" s="379" t="n">
        <v>0</v>
      </c>
      <c r="V12" s="379" t="n">
        <v>0</v>
      </c>
      <c r="X12" s="377"/>
      <c r="Y12" s="377"/>
      <c r="Z12" s="377"/>
      <c r="AA12" s="349"/>
      <c r="AB12" s="377" t="e">
        <f aca="false">SUM(w_p1*AM12,w_p2*AB25,w_p3*AM25,w_p4*AB38,w_p5*AM38,w_p6*AB51,w_p7*AM51,w_p8*AB64,w_p9*AM64,w_p10*AB77,w_p11*AM77,w_p12*AB90,w_p13*AM90,w_p14*AB103,w_p15*AM103,w_p16*AB116,w_p17*AM116,w_p18*AB129,w_p19*AM129,w_p20*AB142)/$AD$7</f>
        <v>#VALUE!</v>
      </c>
      <c r="AC12" s="377" t="e">
        <f aca="false">SUM(w_p1*AN12,w_p2*AC25,w_p3*AN25,w_p4*AC38,w_p5*AN38,w_p6*AC51,w_p7*AN51,w_p8*AC64,w_p9*AN64,w_p10*AC77,w_p11*AN77,w_p12*AC90,w_p13*AN90,w_p14*AC103,w_p15*AN103,w_p16*AC116,w_p17*AN116,w_p18*AC129,w_p19*AN129,w_p20*AC142)/$AD$7</f>
        <v>#VALUE!</v>
      </c>
      <c r="AD12" s="377" t="e">
        <f aca="false">SUM(w_p1*AO12,w_p2*AD25,w_p3*AO25,w_p4*AD38,w_p5*AO38,w_p6*AD51,w_p7*AO51,w_p8*AD64,w_p9*AO64,w_p10*AD77,w_p11*AO77,w_p12*AD90,w_p13*AO90,w_p14*AD103,w_p15*AO103,w_p16*AD116,w_p17*AO116,w_p18*AD129,w_p19*AO129,w_p20*AD142)/$AD$7</f>
        <v>#VALUE!</v>
      </c>
      <c r="AE12" s="377" t="e">
        <f aca="false">SUM(w_p1*AP12,w_p2*AE25,w_p3*AP25,w_p4*AE38,w_p5*AP38,w_p6*AE51,w_p7*AP51,w_p8*AE64,w_p9*AP64,w_p10*AE77,w_p11*AP77,w_p12*AE90,w_p13*AP90,w_p14*AE103,w_p15*AP103,w_p16*AE116,w_p17*AP116,w_p18*AE129,w_p19*AP129,w_p20*AE142)/$AD$7</f>
        <v>#VALUE!</v>
      </c>
      <c r="AF12" s="377" t="e">
        <f aca="false">SUM(w_p1*AQ12,w_p2*AF25,w_p3*AQ25,w_p4*AF38,w_p5*AQ38,w_p6*AF51,w_p7*AQ51,w_p8*AF64,w_p9*AQ64,w_p10*AF77,w_p11*AQ77,w_p12*AF90,w_p13*AQ90,w_p14*AF103,w_p15*AQ103,w_p16*AF116,w_p17*AQ116,w_p18*AF129,w_p19*AQ129,w_p20*AF142)/$AD$7</f>
        <v>#VALUE!</v>
      </c>
      <c r="AG12" s="377" t="e">
        <f aca="false">SUM(w_p1*AR12,w_p2*AG25,w_p3*AR25,w_p4*AG38,w_p5*AR38,w_p6*AG51,w_p7*AR51,w_p8*AG64,w_p9*AR64,w_p10*AG77,w_p11*AR77,w_p12*AG90,w_p13*AR90,w_p14*AG103,w_p15*AR103,w_p16*AG116,w_p17*AR116,w_p18*AG129,w_p19*AR129,w_p20*AG142)/$AD$7</f>
        <v>#VALUE!</v>
      </c>
      <c r="AI12" s="381"/>
      <c r="AJ12" s="381"/>
      <c r="AK12" s="381"/>
      <c r="AL12" s="380"/>
      <c r="AM12" s="381" t="str">
        <f aca="false">IF(Q12=0,"",LN(Q12))</f>
        <v/>
      </c>
      <c r="AN12" s="381" t="str">
        <f aca="false">IF(R12=0,"",LN(R12))</f>
        <v/>
      </c>
      <c r="AO12" s="381" t="str">
        <f aca="false">IF(S12=0,"",LN(S12))</f>
        <v/>
      </c>
      <c r="AP12" s="381" t="str">
        <f aca="false">IF(T12=0,"",LN(T12))</f>
        <v/>
      </c>
      <c r="AQ12" s="381" t="str">
        <f aca="false">IF(U12=0,"",LN(U12))</f>
        <v/>
      </c>
      <c r="AR12" s="381" t="str">
        <f aca="false">IF(V12=0,"",LN(V12))</f>
        <v/>
      </c>
    </row>
    <row r="13" customFormat="false" ht="12" hidden="false" customHeight="false" outlineLevel="0" collapsed="false">
      <c r="A13" s="358" t="n">
        <v>5</v>
      </c>
      <c r="B13" s="377" t="n">
        <f aca="false">IF(($A13&gt;$N$5)+(B$8&gt;$N$5),0,1/INDEX(m_p0,B$8,$A13))</f>
        <v>0</v>
      </c>
      <c r="C13" s="377" t="n">
        <f aca="false">IF(($A13&gt;$N$5)+(C$8&gt;$N$5),0,1/INDEX(m_p0,C$8,$A13))</f>
        <v>0</v>
      </c>
      <c r="D13" s="377" t="n">
        <f aca="false">IF(($A13&gt;$N$5)+(D$8&gt;$N$5),0,1/INDEX(m_p0,D$8,$A13))</f>
        <v>0</v>
      </c>
      <c r="E13" s="377" t="n">
        <f aca="false">IF(($A13&gt;$N$5)+(E$8&gt;$N$5),0,1/INDEX(m_p0,E$8,$A13))</f>
        <v>0</v>
      </c>
      <c r="F13" s="349"/>
      <c r="G13" s="377" t="n">
        <f aca="false">IF((G$8&gt;$N$5)+($A13&gt;$N$5),0,EXP(AC13))</f>
        <v>0</v>
      </c>
      <c r="H13" s="377" t="n">
        <f aca="false">IF((H$8&gt;$N$5)+($A13&gt;$N$5),0,EXP(AD13))</f>
        <v>0</v>
      </c>
      <c r="I13" s="377" t="n">
        <f aca="false">IF((I$8&gt;$N$5)+($A13&gt;$N$5),0,EXP(AE13))</f>
        <v>0</v>
      </c>
      <c r="J13" s="377" t="n">
        <f aca="false">IF((J$8&gt;$N$5)+($A13&gt;$N$5),0,EXP(AF13))</f>
        <v>0</v>
      </c>
      <c r="K13" s="377" t="n">
        <f aca="false">IF((K$8&gt;$N$5)+($A13&gt;$N$5),0,EXP(AG13))</f>
        <v>0</v>
      </c>
      <c r="L13" s="358" t="n">
        <v>5</v>
      </c>
      <c r="M13" s="379" t="n">
        <v>0</v>
      </c>
      <c r="N13" s="379" t="n">
        <v>0</v>
      </c>
      <c r="O13" s="379" t="n">
        <v>0</v>
      </c>
      <c r="P13" s="379" t="n">
        <v>0</v>
      </c>
      <c r="Q13" s="378" t="n">
        <v>1</v>
      </c>
      <c r="R13" s="379" t="n">
        <v>0</v>
      </c>
      <c r="S13" s="379" t="n">
        <v>0</v>
      </c>
      <c r="T13" s="379" t="n">
        <v>0</v>
      </c>
      <c r="U13" s="379" t="n">
        <v>0</v>
      </c>
      <c r="V13" s="379" t="n">
        <v>0</v>
      </c>
      <c r="X13" s="377"/>
      <c r="Y13" s="377"/>
      <c r="Z13" s="377"/>
      <c r="AA13" s="377"/>
      <c r="AB13" s="349"/>
      <c r="AC13" s="377" t="e">
        <f aca="false">SUM(w_p1*AN13,w_p2*AC26,w_p3*AN26,w_p4*AC39,w_p5*AN39,w_p6*AC52,w_p7*AN52,w_p8*AC65,w_p9*AN65,w_p10*AC78,w_p11*AN78,w_p12*AC91,w_p13*AN91,w_p14*AC104,w_p15*AN104,w_p16*AC117,w_p17*AN117,w_p18*AC130,w_p19*AN130,w_p20*AC143)/$AD$7</f>
        <v>#VALUE!</v>
      </c>
      <c r="AD13" s="377" t="e">
        <f aca="false">SUM(w_p1*AO13,w_p2*AD26,w_p3*AO26,w_p4*AD39,w_p5*AO39,w_p6*AD52,w_p7*AO52,w_p8*AD65,w_p9*AO65,w_p10*AD78,w_p11*AO78,w_p12*AD91,w_p13*AO91,w_p14*AD104,w_p15*AO104,w_p16*AD117,w_p17*AO117,w_p18*AD130,w_p19*AO130,w_p20*AD143)/$AD$7</f>
        <v>#VALUE!</v>
      </c>
      <c r="AE13" s="377" t="e">
        <f aca="false">SUM(w_p1*AP13,w_p2*AE26,w_p3*AP26,w_p4*AE39,w_p5*AP39,w_p6*AE52,w_p7*AP52,w_p8*AE65,w_p9*AP65,w_p10*AE78,w_p11*AP78,w_p12*AE91,w_p13*AP91,w_p14*AE104,w_p15*AP104,w_p16*AE117,w_p17*AP117,w_p18*AE130,w_p19*AP130,w_p20*AE143)/$AD$7</f>
        <v>#VALUE!</v>
      </c>
      <c r="AF13" s="377" t="e">
        <f aca="false">SUM(w_p1*AQ13,w_p2*AF26,w_p3*AQ26,w_p4*AF39,w_p5*AQ39,w_p6*AF52,w_p7*AQ52,w_p8*AF65,w_p9*AQ65,w_p10*AF78,w_p11*AQ78,w_p12*AF91,w_p13*AQ91,w_p14*AF104,w_p15*AQ104,w_p16*AF117,w_p17*AQ117,w_p18*AF130,w_p19*AQ130,w_p20*AF143)/$AD$7</f>
        <v>#VALUE!</v>
      </c>
      <c r="AG13" s="377" t="e">
        <f aca="false">SUM(w_p1*AR13,w_p2*AG26,w_p3*AR26,w_p4*AG39,w_p5*AR39,w_p6*AG52,w_p7*AR52,w_p8*AG65,w_p9*AR65,w_p10*AG78,w_p11*AR78,w_p12*AG91,w_p13*AR91,w_p14*AG104,w_p15*AR104,w_p16*AG117,w_p17*AR117,w_p18*AG130,w_p19*AR130,w_p20*AG143)/$AD$7</f>
        <v>#VALUE!</v>
      </c>
      <c r="AI13" s="381"/>
      <c r="AJ13" s="381"/>
      <c r="AK13" s="381"/>
      <c r="AL13" s="381"/>
      <c r="AM13" s="380"/>
      <c r="AN13" s="381" t="str">
        <f aca="false">IF(R13=0,"",LN(R13))</f>
        <v/>
      </c>
      <c r="AO13" s="381" t="str">
        <f aca="false">IF(S13=0,"",LN(S13))</f>
        <v/>
      </c>
      <c r="AP13" s="381" t="str">
        <f aca="false">IF(T13=0,"",LN(T13))</f>
        <v/>
      </c>
      <c r="AQ13" s="381" t="str">
        <f aca="false">IF(U13=0,"",LN(U13))</f>
        <v/>
      </c>
      <c r="AR13" s="381" t="str">
        <f aca="false">IF(V13=0,"",LN(V13))</f>
        <v/>
      </c>
    </row>
    <row r="14" customFormat="false" ht="12" hidden="false" customHeight="false" outlineLevel="0" collapsed="false">
      <c r="A14" s="358" t="n">
        <v>6</v>
      </c>
      <c r="B14" s="377" t="n">
        <f aca="false">IF(($A14&gt;$N$5)+(B$8&gt;$N$5),0,1/INDEX(m_p0,B$8,$A14))</f>
        <v>0</v>
      </c>
      <c r="C14" s="377" t="n">
        <f aca="false">IF(($A14&gt;$N$5)+(C$8&gt;$N$5),0,1/INDEX(m_p0,C$8,$A14))</f>
        <v>0</v>
      </c>
      <c r="D14" s="377" t="n">
        <f aca="false">IF(($A14&gt;$N$5)+(D$8&gt;$N$5),0,1/INDEX(m_p0,D$8,$A14))</f>
        <v>0</v>
      </c>
      <c r="E14" s="377" t="n">
        <f aca="false">IF(($A14&gt;$N$5)+(E$8&gt;$N$5),0,1/INDEX(m_p0,E$8,$A14))</f>
        <v>0</v>
      </c>
      <c r="F14" s="377" t="n">
        <f aca="false">IF(($A14&gt;$N$5)+(F$8&gt;$N$5),0,1/INDEX(m_p0,F$8,$A14))</f>
        <v>0</v>
      </c>
      <c r="G14" s="349"/>
      <c r="H14" s="377" t="n">
        <f aca="false">IF((H$8&gt;$N$5)+($A14&gt;$N$5),0,EXP(AD14))</f>
        <v>0</v>
      </c>
      <c r="I14" s="377" t="n">
        <f aca="false">IF((I$8&gt;$N$5)+($A14&gt;$N$5),0,EXP(AE14))</f>
        <v>0</v>
      </c>
      <c r="J14" s="377" t="n">
        <f aca="false">IF((J$8&gt;$N$5)+($A14&gt;$N$5),0,EXP(AF14))</f>
        <v>0</v>
      </c>
      <c r="K14" s="377" t="n">
        <f aca="false">IF((K$8&gt;$N$5)+($A14&gt;$N$5),0,EXP(AG14))</f>
        <v>0</v>
      </c>
      <c r="L14" s="358" t="n">
        <v>6</v>
      </c>
      <c r="M14" s="379" t="n">
        <v>0</v>
      </c>
      <c r="N14" s="379" t="n">
        <v>0</v>
      </c>
      <c r="O14" s="379" t="n">
        <v>0</v>
      </c>
      <c r="P14" s="379" t="n">
        <v>0</v>
      </c>
      <c r="Q14" s="379" t="n">
        <v>0</v>
      </c>
      <c r="R14" s="378" t="n">
        <v>1</v>
      </c>
      <c r="S14" s="379" t="n">
        <v>0</v>
      </c>
      <c r="T14" s="379" t="n">
        <v>0</v>
      </c>
      <c r="U14" s="379" t="n">
        <v>0</v>
      </c>
      <c r="V14" s="379" t="n">
        <v>0</v>
      </c>
      <c r="X14" s="377"/>
      <c r="Y14" s="377"/>
      <c r="Z14" s="377"/>
      <c r="AA14" s="377"/>
      <c r="AB14" s="377"/>
      <c r="AC14" s="349"/>
      <c r="AD14" s="377" t="e">
        <f aca="false">SUM(w_p1*AO14,w_p2*AD27,w_p3*AO27,w_p4*AD40,w_p5*AO40,w_p6*AD53,w_p7*AO53,w_p8*AD66,w_p9*AO66,w_p10*AD79,w_p11*AO79,w_p12*AD92,w_p13*AO92,w_p14*AD105,w_p15*AO105,w_p16*AD118,w_p17*AO118,w_p18*AD131,w_p19*AO131,w_p20*AD144)/$AD$7</f>
        <v>#VALUE!</v>
      </c>
      <c r="AE14" s="377" t="e">
        <f aca="false">SUM(w_p1*AP14,w_p2*AE27,w_p3*AP27,w_p4*AE40,w_p5*AP40,w_p6*AE53,w_p7*AP53,w_p8*AE66,w_p9*AP66,w_p10*AE79,w_p11*AP79,w_p12*AE92,w_p13*AP92,w_p14*AE105,w_p15*AP105,w_p16*AE118,w_p17*AP118,w_p18*AE131,w_p19*AP131,w_p20*AE144)/$AD$7</f>
        <v>#VALUE!</v>
      </c>
      <c r="AF14" s="377" t="e">
        <f aca="false">SUM(w_p1*AQ14,w_p2*AF27,w_p3*AQ27,w_p4*AF40,w_p5*AQ40,w_p6*AF53,w_p7*AQ53,w_p8*AF66,w_p9*AQ66,w_p10*AF79,w_p11*AQ79,w_p12*AF92,w_p13*AQ92,w_p14*AF105,w_p15*AQ105,w_p16*AF118,w_p17*AQ118,w_p18*AF131,w_p19*AQ131,w_p20*AF144)/$AD$7</f>
        <v>#VALUE!</v>
      </c>
      <c r="AG14" s="377" t="e">
        <f aca="false">SUM(w_p1*AR14,w_p2*AG27,w_p3*AR27,w_p4*AG40,w_p5*AR40,w_p6*AG53,w_p7*AR53,w_p8*AG66,w_p9*AR66,w_p10*AG79,w_p11*AR79,w_p12*AG92,w_p13*AR92,w_p14*AG105,w_p15*AR105,w_p16*AG118,w_p17*AR118,w_p18*AG131,w_p19*AR131,w_p20*AG144)/$AD$7</f>
        <v>#VALUE!</v>
      </c>
      <c r="AI14" s="381"/>
      <c r="AJ14" s="381"/>
      <c r="AK14" s="381"/>
      <c r="AL14" s="381"/>
      <c r="AM14" s="381"/>
      <c r="AN14" s="380"/>
      <c r="AO14" s="381" t="str">
        <f aca="false">IF(S14=0,"",LN(S14))</f>
        <v/>
      </c>
      <c r="AP14" s="381" t="str">
        <f aca="false">IF(T14=0,"",LN(T14))</f>
        <v/>
      </c>
      <c r="AQ14" s="381" t="str">
        <f aca="false">IF(U14=0,"",LN(U14))</f>
        <v/>
      </c>
      <c r="AR14" s="381" t="str">
        <f aca="false">IF(V14=0,"",LN(V14))</f>
        <v/>
      </c>
    </row>
    <row r="15" customFormat="false" ht="12" hidden="false" customHeight="false" outlineLevel="0" collapsed="false">
      <c r="A15" s="358" t="n">
        <v>7</v>
      </c>
      <c r="B15" s="377" t="n">
        <f aca="false">IF(($A15&gt;$N$5)+(B$8&gt;$N$5),0,1/INDEX(m_p0,B$8,$A15))</f>
        <v>0</v>
      </c>
      <c r="C15" s="377" t="n">
        <f aca="false">IF(($A15&gt;$N$5)+(C$8&gt;$N$5),0,1/INDEX(m_p0,C$8,$A15))</f>
        <v>0</v>
      </c>
      <c r="D15" s="377" t="n">
        <f aca="false">IF(($A15&gt;$N$5)+(D$8&gt;$N$5),0,1/INDEX(m_p0,D$8,$A15))</f>
        <v>0</v>
      </c>
      <c r="E15" s="377" t="n">
        <f aca="false">IF(($A15&gt;$N$5)+(E$8&gt;$N$5),0,1/INDEX(m_p0,E$8,$A15))</f>
        <v>0</v>
      </c>
      <c r="F15" s="377" t="n">
        <f aca="false">IF(($A15&gt;$N$5)+(F$8&gt;$N$5),0,1/INDEX(m_p0,F$8,$A15))</f>
        <v>0</v>
      </c>
      <c r="G15" s="377" t="n">
        <f aca="false">IF(($A15&gt;$N$5)+(G$8&gt;$N$5),0,1/INDEX(m_p0,G$8,$A15))</f>
        <v>0</v>
      </c>
      <c r="H15" s="349"/>
      <c r="I15" s="377" t="n">
        <f aca="false">IF((I$8&gt;$N$5)+($A15&gt;$N$5),0,EXP(AE15))</f>
        <v>0</v>
      </c>
      <c r="J15" s="377" t="n">
        <f aca="false">IF((J$8&gt;$N$5)+($A15&gt;$N$5),0,EXP(AF15))</f>
        <v>0</v>
      </c>
      <c r="K15" s="377" t="n">
        <f aca="false">IF((K$8&gt;$N$5)+($A15&gt;$N$5),0,EXP(AG15))</f>
        <v>0</v>
      </c>
      <c r="L15" s="358" t="n">
        <v>7</v>
      </c>
      <c r="M15" s="379" t="n">
        <v>0</v>
      </c>
      <c r="N15" s="379" t="n">
        <v>0</v>
      </c>
      <c r="O15" s="379" t="n">
        <v>0</v>
      </c>
      <c r="P15" s="379" t="n">
        <v>0</v>
      </c>
      <c r="Q15" s="379" t="n">
        <v>0</v>
      </c>
      <c r="R15" s="379" t="n">
        <v>0</v>
      </c>
      <c r="S15" s="378" t="n">
        <v>1</v>
      </c>
      <c r="T15" s="379" t="n">
        <v>0</v>
      </c>
      <c r="U15" s="379" t="n">
        <v>0</v>
      </c>
      <c r="V15" s="379" t="n">
        <v>0</v>
      </c>
      <c r="X15" s="377"/>
      <c r="Y15" s="377"/>
      <c r="Z15" s="377"/>
      <c r="AA15" s="377"/>
      <c r="AB15" s="377"/>
      <c r="AC15" s="377"/>
      <c r="AD15" s="349"/>
      <c r="AE15" s="377" t="e">
        <f aca="false">SUM(w_p1*AP15,w_p2*AE28,w_p3*AP28,w_p4*AE41,w_p5*AP41,w_p6*AE54,w_p7*AP54,w_p8*AE67,w_p9*AP67,w_p10*AE80,w_p11*AP80,w_p12*AE93,w_p13*AP93,w_p14*AE106,w_p15*AP106,w_p16*AE119,w_p17*AP119,w_p18*AE132,w_p19*AP132,w_p20*AE145)/$AD$7</f>
        <v>#VALUE!</v>
      </c>
      <c r="AF15" s="377" t="e">
        <f aca="false">SUM(w_p1*AQ15,w_p2*AF28,w_p3*AQ28,w_p4*AF41,w_p5*AQ41,w_p6*AF54,w_p7*AQ54,w_p8*AF67,w_p9*AQ67,w_p10*AF80,w_p11*AQ80,w_p12*AF93,w_p13*AQ93,w_p14*AF106,w_p15*AQ106,w_p16*AF119,w_p17*AQ119,w_p18*AF132,w_p19*AQ132,w_p20*AF145)/$AD$7</f>
        <v>#VALUE!</v>
      </c>
      <c r="AG15" s="377" t="e">
        <f aca="false">SUM(w_p1*AR15,w_p2*AG28,w_p3*AR28,w_p4*AG41,w_p5*AR41,w_p6*AG54,w_p7*AR54,w_p8*AG67,w_p9*AR67,w_p10*AG80,w_p11*AR80,w_p12*AG93,w_p13*AR93,w_p14*AG106,w_p15*AR106,w_p16*AG119,w_p17*AR119,w_p18*AG132,w_p19*AR132,w_p20*AG145)/$AD$7</f>
        <v>#VALUE!</v>
      </c>
      <c r="AI15" s="381"/>
      <c r="AJ15" s="381"/>
      <c r="AK15" s="381"/>
      <c r="AL15" s="381"/>
      <c r="AM15" s="381"/>
      <c r="AN15" s="381"/>
      <c r="AO15" s="380"/>
      <c r="AP15" s="381" t="str">
        <f aca="false">IF(T15=0,"",LN(T15))</f>
        <v/>
      </c>
      <c r="AQ15" s="381" t="str">
        <f aca="false">IF(U15=0,"",LN(U15))</f>
        <v/>
      </c>
      <c r="AR15" s="381" t="str">
        <f aca="false">IF(V15=0,"",LN(V15))</f>
        <v/>
      </c>
    </row>
    <row r="16" customFormat="false" ht="12" hidden="false" customHeight="false" outlineLevel="0" collapsed="false">
      <c r="A16" s="358" t="n">
        <v>8</v>
      </c>
      <c r="B16" s="377" t="n">
        <f aca="false">IF(($A16&gt;$N$5)+(B$8&gt;$N$5),0,1/INDEX(m_p0,B$8,$A16))</f>
        <v>0</v>
      </c>
      <c r="C16" s="377" t="n">
        <f aca="false">IF(($A16&gt;$N$5)+(C$8&gt;$N$5),0,1/INDEX(m_p0,C$8,$A16))</f>
        <v>0</v>
      </c>
      <c r="D16" s="377" t="n">
        <f aca="false">IF(($A16&gt;$N$5)+(D$8&gt;$N$5),0,1/INDEX(m_p0,D$8,$A16))</f>
        <v>0</v>
      </c>
      <c r="E16" s="377" t="n">
        <f aca="false">IF(($A16&gt;$N$5)+(E$8&gt;$N$5),0,1/INDEX(m_p0,E$8,$A16))</f>
        <v>0</v>
      </c>
      <c r="F16" s="377" t="n">
        <f aca="false">IF(($A16&gt;$N$5)+(F$8&gt;$N$5),0,1/INDEX(m_p0,F$8,$A16))</f>
        <v>0</v>
      </c>
      <c r="G16" s="377" t="n">
        <f aca="false">IF(($A16&gt;$N$5)+(G$8&gt;$N$5),0,1/INDEX(m_p0,G$8,$A16))</f>
        <v>0</v>
      </c>
      <c r="H16" s="377" t="n">
        <f aca="false">IF(($A16&gt;$N$5)+(H$8&gt;$N$5),0,1/INDEX(m_p0,H$8,$A16))</f>
        <v>0</v>
      </c>
      <c r="I16" s="349"/>
      <c r="J16" s="377" t="n">
        <f aca="false">IF((J$8&gt;$N$5)+($A16&gt;$N$5),0,EXP(AF16))</f>
        <v>0</v>
      </c>
      <c r="K16" s="377" t="n">
        <f aca="false">IF((K$8&gt;$N$5)+($A16&gt;$N$5),0,EXP(AG16))</f>
        <v>0</v>
      </c>
      <c r="L16" s="358" t="n">
        <v>8</v>
      </c>
      <c r="M16" s="379" t="n">
        <v>0</v>
      </c>
      <c r="N16" s="379" t="n">
        <v>0</v>
      </c>
      <c r="O16" s="379" t="n">
        <v>0</v>
      </c>
      <c r="P16" s="379" t="n">
        <v>0</v>
      </c>
      <c r="Q16" s="379" t="n">
        <v>0</v>
      </c>
      <c r="R16" s="379" t="n">
        <v>0</v>
      </c>
      <c r="S16" s="379" t="n">
        <v>0</v>
      </c>
      <c r="T16" s="378" t="n">
        <v>1</v>
      </c>
      <c r="U16" s="379" t="n">
        <v>0</v>
      </c>
      <c r="V16" s="379" t="n">
        <v>0</v>
      </c>
      <c r="X16" s="377"/>
      <c r="Y16" s="377"/>
      <c r="Z16" s="377"/>
      <c r="AA16" s="377"/>
      <c r="AB16" s="377"/>
      <c r="AC16" s="377"/>
      <c r="AD16" s="377"/>
      <c r="AE16" s="349"/>
      <c r="AF16" s="377" t="e">
        <f aca="false">SUM(w_p1*AQ16,w_p2*AF29,w_p3*AQ29,w_p4*AF42,w_p5*AQ42,w_p6*AF55,w_p7*AQ55,w_p8*AF68,w_p9*AQ68,w_p10*AF81,w_p11*AQ81,w_p12*AF94,w_p13*AQ94,w_p14*AF107,w_p15*AQ107,w_p16*AF120,w_p17*AQ120,w_p18*AF133,w_p19*AQ133,w_p20*AF146)/$AD$7</f>
        <v>#VALUE!</v>
      </c>
      <c r="AG16" s="377" t="e">
        <f aca="false">SUM(w_p1*AR16,w_p2*AG29,w_p3*AR29,w_p4*AG42,w_p5*AR42,w_p6*AG55,w_p7*AR55,w_p8*AG68,w_p9*AR68,w_p10*AG81,w_p11*AR81,w_p12*AG94,w_p13*AR94,w_p14*AG107,w_p15*AR107,w_p16*AG120,w_p17*AR120,w_p18*AG133,w_p19*AR133,w_p20*AG146)/$AD$7</f>
        <v>#VALUE!</v>
      </c>
      <c r="AI16" s="381"/>
      <c r="AJ16" s="381"/>
      <c r="AK16" s="381"/>
      <c r="AL16" s="381"/>
      <c r="AM16" s="381"/>
      <c r="AN16" s="381"/>
      <c r="AO16" s="381"/>
      <c r="AP16" s="380"/>
      <c r="AQ16" s="381" t="str">
        <f aca="false">IF(U16=0,"",LN(U16))</f>
        <v/>
      </c>
      <c r="AR16" s="381" t="str">
        <f aca="false">IF(V16=0,"",LN(V16))</f>
        <v/>
      </c>
    </row>
    <row r="17" customFormat="false" ht="12" hidden="false" customHeight="false" outlineLevel="0" collapsed="false">
      <c r="A17" s="358" t="n">
        <v>9</v>
      </c>
      <c r="B17" s="377" t="n">
        <f aca="false">IF(($A17&gt;$N$5)+(B$8&gt;$N$5),0,1/INDEX(m_p0,B$8,$A17))</f>
        <v>0</v>
      </c>
      <c r="C17" s="377" t="n">
        <f aca="false">IF(($A17&gt;$N$5)+(C$8&gt;$N$5),0,1/INDEX(m_p0,C$8,$A17))</f>
        <v>0</v>
      </c>
      <c r="D17" s="377" t="n">
        <f aca="false">IF(($A17&gt;$N$5)+(D$8&gt;$N$5),0,1/INDEX(m_p0,D$8,$A17))</f>
        <v>0</v>
      </c>
      <c r="E17" s="377" t="n">
        <f aca="false">IF(($A17&gt;$N$5)+(E$8&gt;$N$5),0,1/INDEX(m_p0,E$8,$A17))</f>
        <v>0</v>
      </c>
      <c r="F17" s="377" t="n">
        <f aca="false">IF(($A17&gt;$N$5)+(F$8&gt;$N$5),0,1/INDEX(m_p0,F$8,$A17))</f>
        <v>0</v>
      </c>
      <c r="G17" s="377" t="n">
        <f aca="false">IF(($A17&gt;$N$5)+(G$8&gt;$N$5),0,1/INDEX(m_p0,G$8,$A17))</f>
        <v>0</v>
      </c>
      <c r="H17" s="377" t="n">
        <f aca="false">IF(($A17&gt;$N$5)+(H$8&gt;$N$5),0,1/INDEX(m_p0,H$8,$A17))</f>
        <v>0</v>
      </c>
      <c r="I17" s="377" t="n">
        <f aca="false">IF(($A17&gt;$N$5)+(I$8&gt;$N$5),0,1/INDEX(m_p0,I$8,$A17))</f>
        <v>0</v>
      </c>
      <c r="J17" s="382"/>
      <c r="K17" s="377" t="n">
        <f aca="false">IF((K$8&gt;$N$5)+($A17&gt;$N$5),0,EXP(AG17))</f>
        <v>0</v>
      </c>
      <c r="L17" s="358" t="n">
        <v>9</v>
      </c>
      <c r="M17" s="379" t="n">
        <v>0</v>
      </c>
      <c r="N17" s="379" t="n">
        <v>0</v>
      </c>
      <c r="O17" s="379" t="n">
        <v>0</v>
      </c>
      <c r="P17" s="379" t="n">
        <v>0</v>
      </c>
      <c r="Q17" s="379" t="n">
        <v>0</v>
      </c>
      <c r="R17" s="379" t="n">
        <v>0</v>
      </c>
      <c r="S17" s="379" t="n">
        <v>0</v>
      </c>
      <c r="T17" s="379" t="n">
        <v>0</v>
      </c>
      <c r="U17" s="378" t="n">
        <v>1</v>
      </c>
      <c r="V17" s="379" t="n">
        <v>0</v>
      </c>
      <c r="X17" s="377"/>
      <c r="Y17" s="377"/>
      <c r="Z17" s="377"/>
      <c r="AA17" s="377"/>
      <c r="AB17" s="377"/>
      <c r="AC17" s="377"/>
      <c r="AD17" s="377"/>
      <c r="AE17" s="377"/>
      <c r="AF17" s="382"/>
      <c r="AG17" s="377" t="e">
        <f aca="false">SUM(w_p1*AR17,w_p2*AG30,w_p3*AR30,w_p4*AG43,w_p5*AR43,w_p6*AG56,w_p7*AR56,w_p8*AG69,w_p9*AR69,w_p10*AG82,w_p11*AR82,w_p12*AG95,w_p13*AR95,w_p14*AG108,w_p15*AR108,w_p16*AG121,w_p17*AR121,w_p18*AG134,w_p19*AR134,w_p20*AG147)/$AD$7</f>
        <v>#VALUE!</v>
      </c>
      <c r="AI17" s="381"/>
      <c r="AJ17" s="381"/>
      <c r="AK17" s="381"/>
      <c r="AL17" s="381"/>
      <c r="AM17" s="381"/>
      <c r="AN17" s="381"/>
      <c r="AO17" s="381"/>
      <c r="AP17" s="381"/>
      <c r="AQ17" s="380"/>
      <c r="AR17" s="381" t="str">
        <f aca="false">IF(V17=0,"",LN(V17))</f>
        <v/>
      </c>
    </row>
    <row r="18" customFormat="false" ht="12" hidden="false" customHeight="false" outlineLevel="0" collapsed="false">
      <c r="A18" s="358" t="n">
        <v>10</v>
      </c>
      <c r="B18" s="377" t="n">
        <f aca="false">IF(($A18&gt;$N$5)+(B$8&gt;$N$5),0,1/INDEX(m_p0,B$8,$A18))</f>
        <v>0</v>
      </c>
      <c r="C18" s="377" t="n">
        <f aca="false">IF(($A18&gt;$N$5)+(C$8&gt;$N$5),0,1/INDEX(m_p0,C$8,$A18))</f>
        <v>0</v>
      </c>
      <c r="D18" s="377" t="n">
        <f aca="false">IF(($A18&gt;$N$5)+(D$8&gt;$N$5),0,1/INDEX(m_p0,D$8,$A18))</f>
        <v>0</v>
      </c>
      <c r="E18" s="377" t="n">
        <f aca="false">IF(($A18&gt;$N$5)+(E$8&gt;$N$5),0,1/INDEX(m_p0,E$8,$A18))</f>
        <v>0</v>
      </c>
      <c r="F18" s="377" t="n">
        <f aca="false">IF(($A18&gt;$N$5)+(F$8&gt;$N$5),0,1/INDEX(m_p0,F$8,$A18))</f>
        <v>0</v>
      </c>
      <c r="G18" s="377" t="n">
        <f aca="false">IF(($A18&gt;$N$5)+(G$8&gt;$N$5),0,1/INDEX(m_p0,G$8,$A18))</f>
        <v>0</v>
      </c>
      <c r="H18" s="377" t="n">
        <f aca="false">IF(($A18&gt;$N$5)+(H$8&gt;$N$5),0,1/INDEX(m_p0,H$8,$A18))</f>
        <v>0</v>
      </c>
      <c r="I18" s="377" t="n">
        <f aca="false">IF(($A18&gt;$N$5)+(I$8&gt;$N$5),0,1/INDEX(m_p0,I$8,$A18))</f>
        <v>0</v>
      </c>
      <c r="J18" s="377" t="n">
        <f aca="false">IF(($A18&gt;$N$5)+(J$8&gt;$N$5),0,1/INDEX(m_p0,J$8,$A18))</f>
        <v>0</v>
      </c>
      <c r="K18" s="382"/>
      <c r="L18" s="358" t="n">
        <v>10</v>
      </c>
      <c r="M18" s="379" t="n">
        <v>0</v>
      </c>
      <c r="N18" s="379" t="n">
        <v>0</v>
      </c>
      <c r="O18" s="379" t="n">
        <v>0</v>
      </c>
      <c r="P18" s="379" t="n">
        <v>0</v>
      </c>
      <c r="Q18" s="379" t="n">
        <v>0</v>
      </c>
      <c r="R18" s="379" t="n">
        <v>0</v>
      </c>
      <c r="S18" s="379" t="n">
        <v>0</v>
      </c>
      <c r="T18" s="379" t="n">
        <v>0</v>
      </c>
      <c r="U18" s="379" t="n">
        <v>0</v>
      </c>
      <c r="V18" s="378" t="n">
        <v>1</v>
      </c>
      <c r="X18" s="377"/>
      <c r="Y18" s="377"/>
      <c r="Z18" s="377"/>
      <c r="AA18" s="377"/>
      <c r="AB18" s="377"/>
      <c r="AC18" s="377"/>
      <c r="AD18" s="377"/>
      <c r="AE18" s="377"/>
      <c r="AF18" s="377"/>
      <c r="AG18" s="382"/>
      <c r="AI18" s="381"/>
      <c r="AJ18" s="381"/>
      <c r="AK18" s="381"/>
      <c r="AL18" s="381"/>
      <c r="AM18" s="381"/>
      <c r="AN18" s="381"/>
      <c r="AO18" s="381"/>
      <c r="AP18" s="381"/>
      <c r="AQ18" s="381"/>
      <c r="AR18" s="380"/>
    </row>
    <row r="20" customFormat="false" ht="12.75" hidden="false" customHeight="false" outlineLevel="0" collapsed="false">
      <c r="A20" s="369" t="n">
        <v>2</v>
      </c>
      <c r="B20" s="370" t="str">
        <f aca="true">INDIRECT(ADDRESS(17,2,1,1,"in"&amp;TEXT(A20,"@")))</f>
        <v>Participant 2</v>
      </c>
      <c r="C20" s="370"/>
      <c r="D20" s="370"/>
      <c r="E20" s="370"/>
      <c r="F20" s="370"/>
      <c r="G20" s="370"/>
      <c r="H20" s="371" t="n">
        <f aca="true">INDIRECT(ADDRESS(17,6,1,1,"in"&amp;TEXT(A20,"@")))</f>
        <v>1</v>
      </c>
      <c r="I20" s="372"/>
      <c r="J20" s="373" t="n">
        <f aca="true">INDIRECT(ADDRESS(17,7,1,1,"in"&amp;TEXT(A20,"@")))</f>
        <v>0</v>
      </c>
      <c r="K20" s="373"/>
      <c r="L20" s="369" t="n">
        <v>3</v>
      </c>
      <c r="M20" s="370" t="str">
        <f aca="true">INDIRECT(ADDRESS(17,2,1,1,"in"&amp;TEXT(L20,"@")))</f>
        <v>Participant 3</v>
      </c>
      <c r="N20" s="370"/>
      <c r="O20" s="370"/>
      <c r="P20" s="370"/>
      <c r="Q20" s="370"/>
      <c r="R20" s="370"/>
      <c r="S20" s="371" t="n">
        <f aca="true">INDIRECT(ADDRESS(17,6,1,1,"in"&amp;TEXT(L20,"@")))</f>
        <v>1</v>
      </c>
      <c r="T20" s="372"/>
      <c r="U20" s="373" t="n">
        <f aca="true">INDIRECT(ADDRESS(17,7,1,1,"in"&amp;TEXT(L20,"@")))</f>
        <v>0</v>
      </c>
      <c r="V20" s="373"/>
      <c r="X20" s="370"/>
      <c r="Y20" s="370"/>
      <c r="Z20" s="370"/>
      <c r="AA20" s="370"/>
      <c r="AB20" s="370"/>
      <c r="AC20" s="370"/>
      <c r="AD20" s="375" t="n">
        <f aca="false">IF(A20&gt;$N$4,0,IF(H20=0,1,H20))</f>
        <v>0</v>
      </c>
      <c r="AE20" s="372"/>
      <c r="AF20" s="373"/>
      <c r="AG20" s="373"/>
      <c r="AH20" s="369"/>
      <c r="AI20" s="370"/>
      <c r="AJ20" s="370"/>
      <c r="AK20" s="370"/>
      <c r="AL20" s="370"/>
      <c r="AM20" s="370"/>
      <c r="AN20" s="370"/>
      <c r="AO20" s="375" t="n">
        <f aca="false">IF(L20&gt;$N$4,0,IF(S20=0,1,S20))</f>
        <v>0</v>
      </c>
      <c r="AP20" s="375"/>
      <c r="AQ20" s="373"/>
      <c r="AR20" s="373"/>
    </row>
    <row r="21" customFormat="false" ht="12" hidden="false" customHeight="false" outlineLevel="0" collapsed="false">
      <c r="B21" s="376" t="n">
        <v>1</v>
      </c>
      <c r="C21" s="376" t="n">
        <v>2</v>
      </c>
      <c r="D21" s="376" t="n">
        <v>3</v>
      </c>
      <c r="E21" s="376" t="n">
        <v>4</v>
      </c>
      <c r="F21" s="376" t="n">
        <v>5</v>
      </c>
      <c r="G21" s="376" t="n">
        <v>6</v>
      </c>
      <c r="H21" s="376" t="n">
        <v>7</v>
      </c>
      <c r="I21" s="376" t="n">
        <v>8</v>
      </c>
      <c r="J21" s="358" t="n">
        <v>9</v>
      </c>
      <c r="K21" s="358" t="n">
        <v>10</v>
      </c>
      <c r="M21" s="376" t="n">
        <v>1</v>
      </c>
      <c r="N21" s="376" t="n">
        <v>2</v>
      </c>
      <c r="O21" s="376" t="n">
        <v>3</v>
      </c>
      <c r="P21" s="376" t="n">
        <v>4</v>
      </c>
      <c r="Q21" s="376" t="n">
        <v>5</v>
      </c>
      <c r="R21" s="376" t="n">
        <v>6</v>
      </c>
      <c r="S21" s="376" t="n">
        <v>7</v>
      </c>
      <c r="T21" s="376" t="n">
        <v>8</v>
      </c>
      <c r="U21" s="358" t="n">
        <v>9</v>
      </c>
      <c r="V21" s="358" t="n">
        <v>10</v>
      </c>
      <c r="X21" s="376"/>
      <c r="Y21" s="376"/>
      <c r="Z21" s="376"/>
      <c r="AA21" s="376"/>
      <c r="AB21" s="376"/>
      <c r="AC21" s="376"/>
      <c r="AD21" s="376"/>
      <c r="AE21" s="376"/>
      <c r="AI21" s="376"/>
      <c r="AJ21" s="376"/>
      <c r="AK21" s="376"/>
      <c r="AL21" s="376"/>
      <c r="AM21" s="376"/>
      <c r="AN21" s="376"/>
      <c r="AO21" s="376"/>
      <c r="AP21" s="376"/>
    </row>
    <row r="22" customFormat="false" ht="12" hidden="false" customHeight="false" outlineLevel="0" collapsed="false">
      <c r="A22" s="358" t="n">
        <v>1</v>
      </c>
      <c r="B22" s="378" t="n">
        <f aca="false" t="array" ref="B22:K31">Matrix2</f>
        <v>1</v>
      </c>
      <c r="C22" s="379" t="n">
        <v>1</v>
      </c>
      <c r="D22" s="379" t="n">
        <v>0</v>
      </c>
      <c r="E22" s="379" t="n">
        <v>0</v>
      </c>
      <c r="F22" s="379" t="n">
        <v>0</v>
      </c>
      <c r="G22" s="379" t="n">
        <v>0</v>
      </c>
      <c r="H22" s="379" t="n">
        <v>0</v>
      </c>
      <c r="I22" s="379" t="n">
        <v>0</v>
      </c>
      <c r="J22" s="379" t="n">
        <v>0</v>
      </c>
      <c r="K22" s="379" t="n">
        <v>0</v>
      </c>
      <c r="L22" s="358" t="n">
        <v>1</v>
      </c>
      <c r="M22" s="378" t="n">
        <f aca="false" t="array" ref="M22:V31">Matrix3</f>
        <v>1</v>
      </c>
      <c r="N22" s="379" t="n">
        <v>1</v>
      </c>
      <c r="O22" s="379" t="n">
        <v>0</v>
      </c>
      <c r="P22" s="379" t="n">
        <v>0</v>
      </c>
      <c r="Q22" s="379" t="n">
        <v>0</v>
      </c>
      <c r="R22" s="379" t="n">
        <v>0</v>
      </c>
      <c r="S22" s="379" t="n">
        <v>0</v>
      </c>
      <c r="T22" s="379" t="n">
        <v>0</v>
      </c>
      <c r="U22" s="379" t="n">
        <v>0</v>
      </c>
      <c r="V22" s="379" t="n">
        <v>0</v>
      </c>
      <c r="X22" s="380"/>
      <c r="Y22" s="381" t="n">
        <f aca="false">IF(C22=0,"",LN(C22))</f>
        <v>0</v>
      </c>
      <c r="Z22" s="381" t="str">
        <f aca="false">IF(D22=0,"",LN(D22))</f>
        <v/>
      </c>
      <c r="AA22" s="381" t="str">
        <f aca="false">IF(E22=0,"",LN(E22))</f>
        <v/>
      </c>
      <c r="AB22" s="381" t="str">
        <f aca="false">IF(F22=0,"",LN(F22))</f>
        <v/>
      </c>
      <c r="AC22" s="381" t="str">
        <f aca="false">IF(G22=0,"",LN(G22))</f>
        <v/>
      </c>
      <c r="AD22" s="381" t="str">
        <f aca="false">IF(H22=0,"",LN(H22))</f>
        <v/>
      </c>
      <c r="AE22" s="381" t="str">
        <f aca="false">IF(I22=0,"",LN(I22))</f>
        <v/>
      </c>
      <c r="AF22" s="381" t="str">
        <f aca="false">IF(J22=0,"",LN(J22))</f>
        <v/>
      </c>
      <c r="AG22" s="381" t="str">
        <f aca="false">IF(K22=0,"",LN(K22))</f>
        <v/>
      </c>
      <c r="AI22" s="380"/>
      <c r="AJ22" s="381" t="n">
        <f aca="false">IF(N22=0,"",LN(N22))</f>
        <v>0</v>
      </c>
      <c r="AK22" s="381" t="str">
        <f aca="false">IF(O22=0,"",LN(O22))</f>
        <v/>
      </c>
      <c r="AL22" s="381" t="str">
        <f aca="false">IF(P22=0,"",LN(P22))</f>
        <v/>
      </c>
      <c r="AM22" s="381" t="str">
        <f aca="false">IF(Q22=0,"",LN(Q22))</f>
        <v/>
      </c>
      <c r="AN22" s="381" t="str">
        <f aca="false">IF(R22=0,"",LN(R22))</f>
        <v/>
      </c>
      <c r="AO22" s="381" t="str">
        <f aca="false">IF(S22=0,"",LN(S22))</f>
        <v/>
      </c>
      <c r="AP22" s="381" t="str">
        <f aca="false">IF(T22=0,"",LN(T22))</f>
        <v/>
      </c>
      <c r="AQ22" s="381" t="str">
        <f aca="false">IF(U22=0,"",LN(U22))</f>
        <v/>
      </c>
      <c r="AR22" s="381" t="str">
        <f aca="false">IF(V22=0,"",LN(V22))</f>
        <v/>
      </c>
    </row>
    <row r="23" customFormat="false" ht="12" hidden="false" customHeight="false" outlineLevel="0" collapsed="false">
      <c r="A23" s="358" t="n">
        <v>2</v>
      </c>
      <c r="B23" s="379" t="n">
        <v>1</v>
      </c>
      <c r="C23" s="378" t="n">
        <v>1</v>
      </c>
      <c r="D23" s="379" t="n">
        <v>0</v>
      </c>
      <c r="E23" s="379" t="n">
        <v>0</v>
      </c>
      <c r="F23" s="379" t="n">
        <v>0</v>
      </c>
      <c r="G23" s="379" t="n">
        <v>0</v>
      </c>
      <c r="H23" s="379" t="n">
        <v>0</v>
      </c>
      <c r="I23" s="379" t="n">
        <v>0</v>
      </c>
      <c r="J23" s="379" t="n">
        <v>0</v>
      </c>
      <c r="K23" s="379" t="n">
        <v>0</v>
      </c>
      <c r="L23" s="358" t="n">
        <v>2</v>
      </c>
      <c r="M23" s="379" t="n">
        <v>1</v>
      </c>
      <c r="N23" s="378" t="n">
        <v>1</v>
      </c>
      <c r="O23" s="379" t="n">
        <v>0</v>
      </c>
      <c r="P23" s="379" t="n">
        <v>0</v>
      </c>
      <c r="Q23" s="379" t="n">
        <v>0</v>
      </c>
      <c r="R23" s="379" t="n">
        <v>0</v>
      </c>
      <c r="S23" s="379" t="n">
        <v>0</v>
      </c>
      <c r="T23" s="379" t="n">
        <v>0</v>
      </c>
      <c r="U23" s="379" t="n">
        <v>0</v>
      </c>
      <c r="V23" s="379" t="n">
        <v>0</v>
      </c>
      <c r="X23" s="381"/>
      <c r="Y23" s="380"/>
      <c r="Z23" s="381" t="str">
        <f aca="false">IF(D23=0,"",LN(D23))</f>
        <v/>
      </c>
      <c r="AA23" s="381" t="str">
        <f aca="false">IF(E23=0,"",LN(E23))</f>
        <v/>
      </c>
      <c r="AB23" s="381" t="str">
        <f aca="false">IF(F23=0,"",LN(F23))</f>
        <v/>
      </c>
      <c r="AC23" s="381" t="str">
        <f aca="false">IF(G23=0,"",LN(G23))</f>
        <v/>
      </c>
      <c r="AD23" s="381" t="str">
        <f aca="false">IF(H23=0,"",LN(H23))</f>
        <v/>
      </c>
      <c r="AE23" s="381" t="str">
        <f aca="false">IF(I23=0,"",LN(I23))</f>
        <v/>
      </c>
      <c r="AF23" s="381" t="str">
        <f aca="false">IF(J23=0,"",LN(J23))</f>
        <v/>
      </c>
      <c r="AG23" s="381" t="str">
        <f aca="false">IF(K23=0,"",LN(K23))</f>
        <v/>
      </c>
      <c r="AI23" s="381"/>
      <c r="AJ23" s="380"/>
      <c r="AK23" s="381" t="str">
        <f aca="false">IF(O23=0,"",LN(O23))</f>
        <v/>
      </c>
      <c r="AL23" s="381" t="str">
        <f aca="false">IF(P23=0,"",LN(P23))</f>
        <v/>
      </c>
      <c r="AM23" s="381" t="str">
        <f aca="false">IF(Q23=0,"",LN(Q23))</f>
        <v/>
      </c>
      <c r="AN23" s="381" t="str">
        <f aca="false">IF(R23=0,"",LN(R23))</f>
        <v/>
      </c>
      <c r="AO23" s="381" t="str">
        <f aca="false">IF(S23=0,"",LN(S23))</f>
        <v/>
      </c>
      <c r="AP23" s="381" t="str">
        <f aca="false">IF(T23=0,"",LN(T23))</f>
        <v/>
      </c>
      <c r="AQ23" s="381" t="str">
        <f aca="false">IF(U23=0,"",LN(U23))</f>
        <v/>
      </c>
      <c r="AR23" s="381" t="str">
        <f aca="false">IF(V23=0,"",LN(V23))</f>
        <v/>
      </c>
    </row>
    <row r="24" customFormat="false" ht="12" hidden="false" customHeight="false" outlineLevel="0" collapsed="false">
      <c r="A24" s="358" t="n">
        <v>3</v>
      </c>
      <c r="B24" s="379" t="n">
        <v>0</v>
      </c>
      <c r="C24" s="379" t="n">
        <v>0</v>
      </c>
      <c r="D24" s="378" t="n">
        <v>1</v>
      </c>
      <c r="E24" s="379" t="n">
        <v>0</v>
      </c>
      <c r="F24" s="379" t="n">
        <v>0</v>
      </c>
      <c r="G24" s="379" t="n">
        <v>0</v>
      </c>
      <c r="H24" s="379" t="n">
        <v>0</v>
      </c>
      <c r="I24" s="379" t="n">
        <v>0</v>
      </c>
      <c r="J24" s="379" t="n">
        <v>0</v>
      </c>
      <c r="K24" s="379" t="n">
        <v>0</v>
      </c>
      <c r="L24" s="358" t="n">
        <v>3</v>
      </c>
      <c r="M24" s="379" t="n">
        <v>0</v>
      </c>
      <c r="N24" s="379" t="n">
        <v>0</v>
      </c>
      <c r="O24" s="378" t="n">
        <v>1</v>
      </c>
      <c r="P24" s="379" t="n">
        <v>0</v>
      </c>
      <c r="Q24" s="379" t="n">
        <v>0</v>
      </c>
      <c r="R24" s="379" t="n">
        <v>0</v>
      </c>
      <c r="S24" s="379" t="n">
        <v>0</v>
      </c>
      <c r="T24" s="379" t="n">
        <v>0</v>
      </c>
      <c r="U24" s="379" t="n">
        <v>0</v>
      </c>
      <c r="V24" s="379" t="n">
        <v>0</v>
      </c>
      <c r="X24" s="381"/>
      <c r="Y24" s="381"/>
      <c r="Z24" s="380"/>
      <c r="AA24" s="381" t="str">
        <f aca="false">IF(E24=0,"",LN(E24))</f>
        <v/>
      </c>
      <c r="AB24" s="381" t="str">
        <f aca="false">IF(F24=0,"",LN(F24))</f>
        <v/>
      </c>
      <c r="AC24" s="381" t="str">
        <f aca="false">IF(G24=0,"",LN(G24))</f>
        <v/>
      </c>
      <c r="AD24" s="381" t="str">
        <f aca="false">IF(H24=0,"",LN(H24))</f>
        <v/>
      </c>
      <c r="AE24" s="381" t="str">
        <f aca="false">IF(I24=0,"",LN(I24))</f>
        <v/>
      </c>
      <c r="AF24" s="381" t="str">
        <f aca="false">IF(J24=0,"",LN(J24))</f>
        <v/>
      </c>
      <c r="AG24" s="381" t="str">
        <f aca="false">IF(K24=0,"",LN(K24))</f>
        <v/>
      </c>
      <c r="AI24" s="381"/>
      <c r="AJ24" s="381"/>
      <c r="AK24" s="380"/>
      <c r="AL24" s="381" t="str">
        <f aca="false">IF(P24=0,"",LN(P24))</f>
        <v/>
      </c>
      <c r="AM24" s="381" t="str">
        <f aca="false">IF(Q24=0,"",LN(Q24))</f>
        <v/>
      </c>
      <c r="AN24" s="381" t="str">
        <f aca="false">IF(R24=0,"",LN(R24))</f>
        <v/>
      </c>
      <c r="AO24" s="381" t="str">
        <f aca="false">IF(S24=0,"",LN(S24))</f>
        <v/>
      </c>
      <c r="AP24" s="381" t="str">
        <f aca="false">IF(T24=0,"",LN(T24))</f>
        <v/>
      </c>
      <c r="AQ24" s="381" t="str">
        <f aca="false">IF(U24=0,"",LN(U24))</f>
        <v/>
      </c>
      <c r="AR24" s="381" t="str">
        <f aca="false">IF(V24=0,"",LN(V24))</f>
        <v/>
      </c>
    </row>
    <row r="25" customFormat="false" ht="12" hidden="false" customHeight="false" outlineLevel="0" collapsed="false">
      <c r="A25" s="358" t="n">
        <v>4</v>
      </c>
      <c r="B25" s="379" t="n">
        <v>0</v>
      </c>
      <c r="C25" s="379" t="n">
        <v>0</v>
      </c>
      <c r="D25" s="379" t="n">
        <v>0</v>
      </c>
      <c r="E25" s="378" t="n">
        <v>1</v>
      </c>
      <c r="F25" s="379" t="n">
        <v>0</v>
      </c>
      <c r="G25" s="379" t="n">
        <v>0</v>
      </c>
      <c r="H25" s="379" t="n">
        <v>0</v>
      </c>
      <c r="I25" s="379" t="n">
        <v>0</v>
      </c>
      <c r="J25" s="379" t="n">
        <v>0</v>
      </c>
      <c r="K25" s="379" t="n">
        <v>0</v>
      </c>
      <c r="L25" s="358" t="n">
        <v>4</v>
      </c>
      <c r="M25" s="379" t="n">
        <v>0</v>
      </c>
      <c r="N25" s="379" t="n">
        <v>0</v>
      </c>
      <c r="O25" s="379" t="n">
        <v>0</v>
      </c>
      <c r="P25" s="378" t="n">
        <v>1</v>
      </c>
      <c r="Q25" s="379" t="n">
        <v>0</v>
      </c>
      <c r="R25" s="379" t="n">
        <v>0</v>
      </c>
      <c r="S25" s="379" t="n">
        <v>0</v>
      </c>
      <c r="T25" s="379" t="n">
        <v>0</v>
      </c>
      <c r="U25" s="379" t="n">
        <v>0</v>
      </c>
      <c r="V25" s="379" t="n">
        <v>0</v>
      </c>
      <c r="X25" s="381"/>
      <c r="Y25" s="381"/>
      <c r="Z25" s="381"/>
      <c r="AA25" s="380"/>
      <c r="AB25" s="381" t="str">
        <f aca="false">IF(F25=0,"",LN(F25))</f>
        <v/>
      </c>
      <c r="AC25" s="381" t="str">
        <f aca="false">IF(G25=0,"",LN(G25))</f>
        <v/>
      </c>
      <c r="AD25" s="381" t="str">
        <f aca="false">IF(H25=0,"",LN(H25))</f>
        <v/>
      </c>
      <c r="AE25" s="381" t="str">
        <f aca="false">IF(I25=0,"",LN(I25))</f>
        <v/>
      </c>
      <c r="AF25" s="381" t="str">
        <f aca="false">IF(J25=0,"",LN(J25))</f>
        <v/>
      </c>
      <c r="AG25" s="381" t="str">
        <f aca="false">IF(K25=0,"",LN(K25))</f>
        <v/>
      </c>
      <c r="AI25" s="381"/>
      <c r="AJ25" s="381"/>
      <c r="AK25" s="381"/>
      <c r="AL25" s="380"/>
      <c r="AM25" s="381" t="str">
        <f aca="false">IF(Q25=0,"",LN(Q25))</f>
        <v/>
      </c>
      <c r="AN25" s="381" t="str">
        <f aca="false">IF(R25=0,"",LN(R25))</f>
        <v/>
      </c>
      <c r="AO25" s="381" t="str">
        <f aca="false">IF(S25=0,"",LN(S25))</f>
        <v/>
      </c>
      <c r="AP25" s="381" t="str">
        <f aca="false">IF(T25=0,"",LN(T25))</f>
        <v/>
      </c>
      <c r="AQ25" s="381" t="str">
        <f aca="false">IF(U25=0,"",LN(U25))</f>
        <v/>
      </c>
      <c r="AR25" s="381" t="str">
        <f aca="false">IF(V25=0,"",LN(V25))</f>
        <v/>
      </c>
    </row>
    <row r="26" customFormat="false" ht="12" hidden="false" customHeight="false" outlineLevel="0" collapsed="false">
      <c r="A26" s="358" t="n">
        <v>5</v>
      </c>
      <c r="B26" s="379" t="n">
        <v>0</v>
      </c>
      <c r="C26" s="379" t="n">
        <v>0</v>
      </c>
      <c r="D26" s="379" t="n">
        <v>0</v>
      </c>
      <c r="E26" s="379" t="n">
        <v>0</v>
      </c>
      <c r="F26" s="378" t="n">
        <v>1</v>
      </c>
      <c r="G26" s="379" t="n">
        <v>0</v>
      </c>
      <c r="H26" s="379" t="n">
        <v>0</v>
      </c>
      <c r="I26" s="379" t="n">
        <v>0</v>
      </c>
      <c r="J26" s="379" t="n">
        <v>0</v>
      </c>
      <c r="K26" s="379" t="n">
        <v>0</v>
      </c>
      <c r="L26" s="358" t="n">
        <v>5</v>
      </c>
      <c r="M26" s="379" t="n">
        <v>0</v>
      </c>
      <c r="N26" s="379" t="n">
        <v>0</v>
      </c>
      <c r="O26" s="379" t="n">
        <v>0</v>
      </c>
      <c r="P26" s="379" t="n">
        <v>0</v>
      </c>
      <c r="Q26" s="378" t="n">
        <v>1</v>
      </c>
      <c r="R26" s="379" t="n">
        <v>0</v>
      </c>
      <c r="S26" s="379" t="n">
        <v>0</v>
      </c>
      <c r="T26" s="379" t="n">
        <v>0</v>
      </c>
      <c r="U26" s="379" t="n">
        <v>0</v>
      </c>
      <c r="V26" s="379" t="n">
        <v>0</v>
      </c>
      <c r="X26" s="381"/>
      <c r="Y26" s="381"/>
      <c r="Z26" s="381"/>
      <c r="AA26" s="381"/>
      <c r="AB26" s="380"/>
      <c r="AC26" s="381" t="str">
        <f aca="false">IF(G26=0,"",LN(G26))</f>
        <v/>
      </c>
      <c r="AD26" s="381" t="str">
        <f aca="false">IF(H26=0,"",LN(H26))</f>
        <v/>
      </c>
      <c r="AE26" s="381" t="str">
        <f aca="false">IF(I26=0,"",LN(I26))</f>
        <v/>
      </c>
      <c r="AF26" s="381" t="str">
        <f aca="false">IF(J26=0,"",LN(J26))</f>
        <v/>
      </c>
      <c r="AG26" s="381" t="str">
        <f aca="false">IF(K26=0,"",LN(K26))</f>
        <v/>
      </c>
      <c r="AI26" s="381"/>
      <c r="AJ26" s="381"/>
      <c r="AK26" s="381"/>
      <c r="AL26" s="381"/>
      <c r="AM26" s="380"/>
      <c r="AN26" s="381" t="str">
        <f aca="false">IF(R26=0,"",LN(R26))</f>
        <v/>
      </c>
      <c r="AO26" s="381" t="str">
        <f aca="false">IF(S26=0,"",LN(S26))</f>
        <v/>
      </c>
      <c r="AP26" s="381" t="str">
        <f aca="false">IF(T26=0,"",LN(T26))</f>
        <v/>
      </c>
      <c r="AQ26" s="381" t="str">
        <f aca="false">IF(U26=0,"",LN(U26))</f>
        <v/>
      </c>
      <c r="AR26" s="381" t="str">
        <f aca="false">IF(V26=0,"",LN(V26))</f>
        <v/>
      </c>
    </row>
    <row r="27" customFormat="false" ht="12" hidden="false" customHeight="false" outlineLevel="0" collapsed="false">
      <c r="A27" s="358" t="n">
        <v>6</v>
      </c>
      <c r="B27" s="379" t="n">
        <v>0</v>
      </c>
      <c r="C27" s="379" t="n">
        <v>0</v>
      </c>
      <c r="D27" s="379" t="n">
        <v>0</v>
      </c>
      <c r="E27" s="379" t="n">
        <v>0</v>
      </c>
      <c r="F27" s="379" t="n">
        <v>0</v>
      </c>
      <c r="G27" s="378" t="n">
        <v>1</v>
      </c>
      <c r="H27" s="379" t="n">
        <v>0</v>
      </c>
      <c r="I27" s="379" t="n">
        <v>0</v>
      </c>
      <c r="J27" s="379" t="n">
        <v>0</v>
      </c>
      <c r="K27" s="379" t="n">
        <v>0</v>
      </c>
      <c r="L27" s="358" t="n">
        <v>6</v>
      </c>
      <c r="M27" s="379" t="n">
        <v>0</v>
      </c>
      <c r="N27" s="379" t="n">
        <v>0</v>
      </c>
      <c r="O27" s="379" t="n">
        <v>0</v>
      </c>
      <c r="P27" s="379" t="n">
        <v>0</v>
      </c>
      <c r="Q27" s="379" t="n">
        <v>0</v>
      </c>
      <c r="R27" s="378" t="n">
        <v>1</v>
      </c>
      <c r="S27" s="379" t="n">
        <v>0</v>
      </c>
      <c r="T27" s="379" t="n">
        <v>0</v>
      </c>
      <c r="U27" s="379" t="n">
        <v>0</v>
      </c>
      <c r="V27" s="379" t="n">
        <v>0</v>
      </c>
      <c r="X27" s="381"/>
      <c r="Y27" s="381"/>
      <c r="Z27" s="381"/>
      <c r="AA27" s="381"/>
      <c r="AB27" s="381"/>
      <c r="AC27" s="380"/>
      <c r="AD27" s="381" t="str">
        <f aca="false">IF(H27=0,"",LN(H27))</f>
        <v/>
      </c>
      <c r="AE27" s="381" t="str">
        <f aca="false">IF(I27=0,"",LN(I27))</f>
        <v/>
      </c>
      <c r="AF27" s="381" t="str">
        <f aca="false">IF(J27=0,"",LN(J27))</f>
        <v/>
      </c>
      <c r="AG27" s="381" t="str">
        <f aca="false">IF(K27=0,"",LN(K27))</f>
        <v/>
      </c>
      <c r="AI27" s="381"/>
      <c r="AJ27" s="381"/>
      <c r="AK27" s="381"/>
      <c r="AL27" s="381"/>
      <c r="AM27" s="381"/>
      <c r="AN27" s="380"/>
      <c r="AO27" s="381" t="str">
        <f aca="false">IF(S27=0,"",LN(S27))</f>
        <v/>
      </c>
      <c r="AP27" s="381" t="str">
        <f aca="false">IF(T27=0,"",LN(T27))</f>
        <v/>
      </c>
      <c r="AQ27" s="381" t="str">
        <f aca="false">IF(U27=0,"",LN(U27))</f>
        <v/>
      </c>
      <c r="AR27" s="381" t="str">
        <f aca="false">IF(V27=0,"",LN(V27))</f>
        <v/>
      </c>
    </row>
    <row r="28" customFormat="false" ht="12" hidden="false" customHeight="false" outlineLevel="0" collapsed="false">
      <c r="A28" s="358" t="n">
        <v>7</v>
      </c>
      <c r="B28" s="379" t="n">
        <v>0</v>
      </c>
      <c r="C28" s="379" t="n">
        <v>0</v>
      </c>
      <c r="D28" s="379" t="n">
        <v>0</v>
      </c>
      <c r="E28" s="379" t="n">
        <v>0</v>
      </c>
      <c r="F28" s="379" t="n">
        <v>0</v>
      </c>
      <c r="G28" s="379" t="n">
        <v>0</v>
      </c>
      <c r="H28" s="378" t="n">
        <v>1</v>
      </c>
      <c r="I28" s="379" t="n">
        <v>0</v>
      </c>
      <c r="J28" s="379" t="n">
        <v>0</v>
      </c>
      <c r="K28" s="379" t="n">
        <v>0</v>
      </c>
      <c r="L28" s="358" t="n">
        <v>7</v>
      </c>
      <c r="M28" s="379" t="n">
        <v>0</v>
      </c>
      <c r="N28" s="379" t="n">
        <v>0</v>
      </c>
      <c r="O28" s="379" t="n">
        <v>0</v>
      </c>
      <c r="P28" s="379" t="n">
        <v>0</v>
      </c>
      <c r="Q28" s="379" t="n">
        <v>0</v>
      </c>
      <c r="R28" s="379" t="n">
        <v>0</v>
      </c>
      <c r="S28" s="378" t="n">
        <v>1</v>
      </c>
      <c r="T28" s="379" t="n">
        <v>0</v>
      </c>
      <c r="U28" s="379" t="n">
        <v>0</v>
      </c>
      <c r="V28" s="379" t="n">
        <v>0</v>
      </c>
      <c r="X28" s="381"/>
      <c r="Y28" s="381"/>
      <c r="Z28" s="381"/>
      <c r="AA28" s="381"/>
      <c r="AB28" s="381"/>
      <c r="AC28" s="381"/>
      <c r="AD28" s="380"/>
      <c r="AE28" s="381" t="str">
        <f aca="false">IF(I28=0,"",LN(I28))</f>
        <v/>
      </c>
      <c r="AF28" s="381" t="str">
        <f aca="false">IF(J28=0,"",LN(J28))</f>
        <v/>
      </c>
      <c r="AG28" s="381" t="str">
        <f aca="false">IF(K28=0,"",LN(K28))</f>
        <v/>
      </c>
      <c r="AI28" s="381"/>
      <c r="AJ28" s="381"/>
      <c r="AK28" s="381"/>
      <c r="AL28" s="381"/>
      <c r="AM28" s="381"/>
      <c r="AN28" s="381"/>
      <c r="AO28" s="380"/>
      <c r="AP28" s="381" t="str">
        <f aca="false">IF(T28=0,"",LN(T28))</f>
        <v/>
      </c>
      <c r="AQ28" s="381" t="str">
        <f aca="false">IF(U28=0,"",LN(U28))</f>
        <v/>
      </c>
      <c r="AR28" s="381" t="str">
        <f aca="false">IF(V28=0,"",LN(V28))</f>
        <v/>
      </c>
    </row>
    <row r="29" customFormat="false" ht="12" hidden="false" customHeight="false" outlineLevel="0" collapsed="false">
      <c r="A29" s="358" t="n">
        <v>8</v>
      </c>
      <c r="B29" s="379" t="n">
        <v>0</v>
      </c>
      <c r="C29" s="379" t="n">
        <v>0</v>
      </c>
      <c r="D29" s="379" t="n">
        <v>0</v>
      </c>
      <c r="E29" s="379" t="n">
        <v>0</v>
      </c>
      <c r="F29" s="379" t="n">
        <v>0</v>
      </c>
      <c r="G29" s="379" t="n">
        <v>0</v>
      </c>
      <c r="H29" s="379" t="n">
        <v>0</v>
      </c>
      <c r="I29" s="378" t="n">
        <v>1</v>
      </c>
      <c r="J29" s="379" t="n">
        <v>0</v>
      </c>
      <c r="K29" s="379" t="n">
        <v>0</v>
      </c>
      <c r="L29" s="358" t="n">
        <v>8</v>
      </c>
      <c r="M29" s="379" t="n">
        <v>0</v>
      </c>
      <c r="N29" s="379" t="n">
        <v>0</v>
      </c>
      <c r="O29" s="379" t="n">
        <v>0</v>
      </c>
      <c r="P29" s="379" t="n">
        <v>0</v>
      </c>
      <c r="Q29" s="379" t="n">
        <v>0</v>
      </c>
      <c r="R29" s="379" t="n">
        <v>0</v>
      </c>
      <c r="S29" s="379" t="n">
        <v>0</v>
      </c>
      <c r="T29" s="378" t="n">
        <v>1</v>
      </c>
      <c r="U29" s="379" t="n">
        <v>0</v>
      </c>
      <c r="V29" s="379" t="n">
        <v>0</v>
      </c>
      <c r="X29" s="381"/>
      <c r="Y29" s="381"/>
      <c r="Z29" s="381"/>
      <c r="AA29" s="381"/>
      <c r="AB29" s="381"/>
      <c r="AC29" s="381"/>
      <c r="AD29" s="381"/>
      <c r="AE29" s="380"/>
      <c r="AF29" s="381" t="str">
        <f aca="false">IF(J29=0,"",LN(J29))</f>
        <v/>
      </c>
      <c r="AG29" s="381" t="str">
        <f aca="false">IF(K29=0,"",LN(K29))</f>
        <v/>
      </c>
      <c r="AI29" s="381"/>
      <c r="AJ29" s="381"/>
      <c r="AK29" s="381"/>
      <c r="AL29" s="381"/>
      <c r="AM29" s="381"/>
      <c r="AN29" s="381"/>
      <c r="AO29" s="381"/>
      <c r="AP29" s="380"/>
      <c r="AQ29" s="381" t="str">
        <f aca="false">IF(U29=0,"",LN(U29))</f>
        <v/>
      </c>
      <c r="AR29" s="381" t="str">
        <f aca="false">IF(V29=0,"",LN(V29))</f>
        <v/>
      </c>
    </row>
    <row r="30" customFormat="false" ht="12" hidden="false" customHeight="false" outlineLevel="0" collapsed="false">
      <c r="A30" s="358" t="n">
        <v>9</v>
      </c>
      <c r="B30" s="379" t="n">
        <v>0</v>
      </c>
      <c r="C30" s="379" t="n">
        <v>0</v>
      </c>
      <c r="D30" s="379" t="n">
        <v>0</v>
      </c>
      <c r="E30" s="379" t="n">
        <v>0</v>
      </c>
      <c r="F30" s="379" t="n">
        <v>0</v>
      </c>
      <c r="G30" s="379" t="n">
        <v>0</v>
      </c>
      <c r="H30" s="379" t="n">
        <v>0</v>
      </c>
      <c r="I30" s="379" t="n">
        <v>0</v>
      </c>
      <c r="J30" s="378" t="n">
        <v>1</v>
      </c>
      <c r="K30" s="379" t="n">
        <v>0</v>
      </c>
      <c r="L30" s="358" t="n">
        <v>9</v>
      </c>
      <c r="M30" s="379" t="n">
        <v>0</v>
      </c>
      <c r="N30" s="379" t="n">
        <v>0</v>
      </c>
      <c r="O30" s="379" t="n">
        <v>0</v>
      </c>
      <c r="P30" s="379" t="n">
        <v>0</v>
      </c>
      <c r="Q30" s="379" t="n">
        <v>0</v>
      </c>
      <c r="R30" s="379" t="n">
        <v>0</v>
      </c>
      <c r="S30" s="379" t="n">
        <v>0</v>
      </c>
      <c r="T30" s="379" t="n">
        <v>0</v>
      </c>
      <c r="U30" s="378" t="n">
        <v>1</v>
      </c>
      <c r="V30" s="379" t="n">
        <v>0</v>
      </c>
      <c r="X30" s="381"/>
      <c r="Y30" s="381"/>
      <c r="Z30" s="381"/>
      <c r="AA30" s="381"/>
      <c r="AB30" s="381"/>
      <c r="AC30" s="381"/>
      <c r="AD30" s="381"/>
      <c r="AE30" s="381"/>
      <c r="AF30" s="380"/>
      <c r="AG30" s="381" t="str">
        <f aca="false">IF(K30=0,"",LN(K30))</f>
        <v/>
      </c>
      <c r="AI30" s="381"/>
      <c r="AJ30" s="381"/>
      <c r="AK30" s="381"/>
      <c r="AL30" s="381"/>
      <c r="AM30" s="381"/>
      <c r="AN30" s="381"/>
      <c r="AO30" s="381"/>
      <c r="AP30" s="381"/>
      <c r="AQ30" s="380"/>
      <c r="AR30" s="381" t="str">
        <f aca="false">IF(V30=0,"",LN(V30))</f>
        <v/>
      </c>
    </row>
    <row r="31" customFormat="false" ht="12" hidden="false" customHeight="false" outlineLevel="0" collapsed="false">
      <c r="A31" s="358" t="n">
        <v>10</v>
      </c>
      <c r="B31" s="379" t="n">
        <v>0</v>
      </c>
      <c r="C31" s="379" t="n">
        <v>0</v>
      </c>
      <c r="D31" s="379" t="n">
        <v>0</v>
      </c>
      <c r="E31" s="379" t="n">
        <v>0</v>
      </c>
      <c r="F31" s="379" t="n">
        <v>0</v>
      </c>
      <c r="G31" s="379" t="n">
        <v>0</v>
      </c>
      <c r="H31" s="379" t="n">
        <v>0</v>
      </c>
      <c r="I31" s="379" t="n">
        <v>0</v>
      </c>
      <c r="J31" s="379" t="n">
        <v>0</v>
      </c>
      <c r="K31" s="378" t="n">
        <v>1</v>
      </c>
      <c r="L31" s="358" t="n">
        <v>10</v>
      </c>
      <c r="M31" s="379" t="n">
        <v>0</v>
      </c>
      <c r="N31" s="379" t="n">
        <v>0</v>
      </c>
      <c r="O31" s="379" t="n">
        <v>0</v>
      </c>
      <c r="P31" s="379" t="n">
        <v>0</v>
      </c>
      <c r="Q31" s="379" t="n">
        <v>0</v>
      </c>
      <c r="R31" s="379" t="n">
        <v>0</v>
      </c>
      <c r="S31" s="379" t="n">
        <v>0</v>
      </c>
      <c r="T31" s="379" t="n">
        <v>0</v>
      </c>
      <c r="U31" s="379" t="n">
        <v>0</v>
      </c>
      <c r="V31" s="378" t="n">
        <v>1</v>
      </c>
      <c r="X31" s="381"/>
      <c r="Y31" s="381"/>
      <c r="Z31" s="381"/>
      <c r="AA31" s="381"/>
      <c r="AB31" s="381"/>
      <c r="AC31" s="381"/>
      <c r="AD31" s="381"/>
      <c r="AE31" s="381"/>
      <c r="AF31" s="381"/>
      <c r="AG31" s="380"/>
      <c r="AI31" s="381"/>
      <c r="AJ31" s="381"/>
      <c r="AK31" s="381"/>
      <c r="AL31" s="381"/>
      <c r="AM31" s="381"/>
      <c r="AN31" s="381"/>
      <c r="AO31" s="381"/>
      <c r="AP31" s="381"/>
      <c r="AQ31" s="381"/>
      <c r="AR31" s="380"/>
    </row>
    <row r="33" customFormat="false" ht="12.75" hidden="false" customHeight="false" outlineLevel="0" collapsed="false">
      <c r="A33" s="369" t="n">
        <v>4</v>
      </c>
      <c r="B33" s="370" t="str">
        <f aca="true">INDIRECT(ADDRESS(17,2,1,1,"in"&amp;TEXT(A33,"@")))</f>
        <v>Participant 4</v>
      </c>
      <c r="C33" s="370"/>
      <c r="D33" s="370"/>
      <c r="E33" s="370"/>
      <c r="F33" s="370"/>
      <c r="G33" s="370"/>
      <c r="H33" s="371" t="n">
        <f aca="true">INDIRECT(ADDRESS(17,6,1,1,"in"&amp;TEXT(A33,"@")))</f>
        <v>1</v>
      </c>
      <c r="I33" s="372"/>
      <c r="J33" s="373" t="n">
        <f aca="true">INDIRECT(ADDRESS(17,7,1,1,"in"&amp;TEXT(A33,"@")))</f>
        <v>0</v>
      </c>
      <c r="K33" s="373"/>
      <c r="L33" s="369" t="n">
        <v>5</v>
      </c>
      <c r="M33" s="370" t="str">
        <f aca="true">INDIRECT(ADDRESS(17,2,1,1,"in"&amp;TEXT(L33,"@")))</f>
        <v>Participant 5</v>
      </c>
      <c r="N33" s="370"/>
      <c r="O33" s="370"/>
      <c r="P33" s="370"/>
      <c r="Q33" s="370"/>
      <c r="R33" s="370"/>
      <c r="S33" s="371" t="n">
        <f aca="true">INDIRECT(ADDRESS(17,6,1,1,"in"&amp;TEXT(L33,"@")))</f>
        <v>1</v>
      </c>
      <c r="T33" s="372"/>
      <c r="U33" s="373" t="n">
        <f aca="true">INDIRECT(ADDRESS(17,7,1,1,"in"&amp;TEXT(L33,"@")))</f>
        <v>0</v>
      </c>
      <c r="V33" s="373"/>
      <c r="X33" s="370"/>
      <c r="Y33" s="370"/>
      <c r="Z33" s="370"/>
      <c r="AA33" s="370"/>
      <c r="AB33" s="370"/>
      <c r="AC33" s="370"/>
      <c r="AD33" s="375" t="n">
        <f aca="false">IF(A33&gt;$N$4,0,IF(H33=0,1,H33))</f>
        <v>0</v>
      </c>
      <c r="AE33" s="375"/>
      <c r="AF33" s="373"/>
      <c r="AG33" s="373"/>
      <c r="AH33" s="369"/>
      <c r="AI33" s="370"/>
      <c r="AJ33" s="370"/>
      <c r="AK33" s="370"/>
      <c r="AL33" s="370"/>
      <c r="AM33" s="370"/>
      <c r="AN33" s="370"/>
      <c r="AO33" s="375" t="n">
        <f aca="false">IF(L33&gt;$N$4,0,IF(S33=0,1,S33))</f>
        <v>0</v>
      </c>
      <c r="AP33" s="375"/>
      <c r="AQ33" s="373"/>
      <c r="AR33" s="373"/>
    </row>
    <row r="34" customFormat="false" ht="12" hidden="false" customHeight="false" outlineLevel="0" collapsed="false">
      <c r="B34" s="376" t="n">
        <v>1</v>
      </c>
      <c r="C34" s="376" t="n">
        <v>2</v>
      </c>
      <c r="D34" s="376" t="n">
        <v>3</v>
      </c>
      <c r="E34" s="376" t="n">
        <v>4</v>
      </c>
      <c r="F34" s="376" t="n">
        <v>5</v>
      </c>
      <c r="G34" s="376" t="n">
        <v>6</v>
      </c>
      <c r="H34" s="376" t="n">
        <v>7</v>
      </c>
      <c r="I34" s="376" t="n">
        <v>8</v>
      </c>
      <c r="J34" s="358" t="n">
        <v>9</v>
      </c>
      <c r="K34" s="358" t="n">
        <v>10</v>
      </c>
      <c r="M34" s="376" t="n">
        <v>1</v>
      </c>
      <c r="N34" s="376" t="n">
        <v>2</v>
      </c>
      <c r="O34" s="376" t="n">
        <v>3</v>
      </c>
      <c r="P34" s="376" t="n">
        <v>4</v>
      </c>
      <c r="Q34" s="376" t="n">
        <v>5</v>
      </c>
      <c r="R34" s="376" t="n">
        <v>6</v>
      </c>
      <c r="S34" s="376" t="n">
        <v>7</v>
      </c>
      <c r="T34" s="376" t="n">
        <v>8</v>
      </c>
      <c r="U34" s="358" t="n">
        <v>9</v>
      </c>
      <c r="V34" s="358" t="n">
        <v>10</v>
      </c>
      <c r="X34" s="376"/>
      <c r="Y34" s="376"/>
      <c r="Z34" s="376"/>
      <c r="AA34" s="376"/>
      <c r="AB34" s="376"/>
      <c r="AC34" s="376"/>
      <c r="AD34" s="376"/>
      <c r="AE34" s="376"/>
      <c r="AI34" s="376"/>
      <c r="AJ34" s="376"/>
      <c r="AK34" s="376"/>
      <c r="AL34" s="376"/>
      <c r="AM34" s="376"/>
      <c r="AN34" s="376"/>
      <c r="AO34" s="376"/>
      <c r="AP34" s="376"/>
    </row>
    <row r="35" customFormat="false" ht="12" hidden="false" customHeight="false" outlineLevel="0" collapsed="false">
      <c r="A35" s="358" t="n">
        <v>1</v>
      </c>
      <c r="B35" s="378" t="n">
        <f aca="false" t="array" ref="B35:K44">Matrix4</f>
        <v>1</v>
      </c>
      <c r="C35" s="379" t="n">
        <v>1</v>
      </c>
      <c r="D35" s="379" t="n">
        <v>0</v>
      </c>
      <c r="E35" s="379" t="n">
        <v>0</v>
      </c>
      <c r="F35" s="379" t="n">
        <v>0</v>
      </c>
      <c r="G35" s="379" t="n">
        <v>0</v>
      </c>
      <c r="H35" s="379" t="n">
        <v>0</v>
      </c>
      <c r="I35" s="379" t="n">
        <v>0</v>
      </c>
      <c r="J35" s="379" t="n">
        <v>0</v>
      </c>
      <c r="K35" s="379" t="n">
        <v>0</v>
      </c>
      <c r="L35" s="358" t="n">
        <v>1</v>
      </c>
      <c r="M35" s="378" t="n">
        <f aca="false" t="array" ref="M35:V44">Matrix5</f>
        <v>1</v>
      </c>
      <c r="N35" s="379" t="n">
        <v>1</v>
      </c>
      <c r="O35" s="379" t="n">
        <v>0</v>
      </c>
      <c r="P35" s="379" t="n">
        <v>0</v>
      </c>
      <c r="Q35" s="379" t="n">
        <v>0</v>
      </c>
      <c r="R35" s="379" t="n">
        <v>0</v>
      </c>
      <c r="S35" s="379" t="n">
        <v>0</v>
      </c>
      <c r="T35" s="379" t="n">
        <v>0</v>
      </c>
      <c r="U35" s="379" t="n">
        <v>0</v>
      </c>
      <c r="V35" s="379" t="n">
        <v>0</v>
      </c>
      <c r="X35" s="380"/>
      <c r="Y35" s="381" t="n">
        <f aca="false">IF(C35=0,"",LN(C35))</f>
        <v>0</v>
      </c>
      <c r="Z35" s="381" t="str">
        <f aca="false">IF(D35=0,"",LN(D35))</f>
        <v/>
      </c>
      <c r="AA35" s="381" t="str">
        <f aca="false">IF(E35=0,"",LN(E35))</f>
        <v/>
      </c>
      <c r="AB35" s="381" t="str">
        <f aca="false">IF(F35=0,"",LN(F35))</f>
        <v/>
      </c>
      <c r="AC35" s="381" t="str">
        <f aca="false">IF(G35=0,"",LN(G35))</f>
        <v/>
      </c>
      <c r="AD35" s="381" t="str">
        <f aca="false">IF(H35=0,"",LN(H35))</f>
        <v/>
      </c>
      <c r="AE35" s="381" t="str">
        <f aca="false">IF(I35=0,"",LN(I35))</f>
        <v/>
      </c>
      <c r="AF35" s="381" t="str">
        <f aca="false">IF(J35=0,"",LN(J35))</f>
        <v/>
      </c>
      <c r="AG35" s="381" t="str">
        <f aca="false">IF(K35=0,"",LN(K35))</f>
        <v/>
      </c>
      <c r="AI35" s="380"/>
      <c r="AJ35" s="381" t="n">
        <f aca="false">IF(N35=0,"",LN(N35))</f>
        <v>0</v>
      </c>
      <c r="AK35" s="381" t="str">
        <f aca="false">IF(O35=0,"",LN(O35))</f>
        <v/>
      </c>
      <c r="AL35" s="381" t="str">
        <f aca="false">IF(P35=0,"",LN(P35))</f>
        <v/>
      </c>
      <c r="AM35" s="381" t="str">
        <f aca="false">IF(Q35=0,"",LN(Q35))</f>
        <v/>
      </c>
      <c r="AN35" s="381" t="str">
        <f aca="false">IF(R35=0,"",LN(R35))</f>
        <v/>
      </c>
      <c r="AO35" s="381" t="str">
        <f aca="false">IF(S35=0,"",LN(S35))</f>
        <v/>
      </c>
      <c r="AP35" s="381" t="str">
        <f aca="false">IF(T35=0,"",LN(T35))</f>
        <v/>
      </c>
      <c r="AQ35" s="381" t="str">
        <f aca="false">IF(U35=0,"",LN(U35))</f>
        <v/>
      </c>
      <c r="AR35" s="381" t="str">
        <f aca="false">IF(V35=0,"",LN(V35))</f>
        <v/>
      </c>
    </row>
    <row r="36" customFormat="false" ht="12" hidden="false" customHeight="false" outlineLevel="0" collapsed="false">
      <c r="A36" s="358" t="n">
        <v>2</v>
      </c>
      <c r="B36" s="379" t="n">
        <v>1</v>
      </c>
      <c r="C36" s="378" t="n">
        <v>1</v>
      </c>
      <c r="D36" s="379" t="n">
        <v>0</v>
      </c>
      <c r="E36" s="379" t="n">
        <v>0</v>
      </c>
      <c r="F36" s="379" t="n">
        <v>0</v>
      </c>
      <c r="G36" s="379" t="n">
        <v>0</v>
      </c>
      <c r="H36" s="379" t="n">
        <v>0</v>
      </c>
      <c r="I36" s="379" t="n">
        <v>0</v>
      </c>
      <c r="J36" s="379" t="n">
        <v>0</v>
      </c>
      <c r="K36" s="379" t="n">
        <v>0</v>
      </c>
      <c r="L36" s="358" t="n">
        <v>2</v>
      </c>
      <c r="M36" s="379" t="n">
        <v>1</v>
      </c>
      <c r="N36" s="378" t="n">
        <v>1</v>
      </c>
      <c r="O36" s="379" t="n">
        <v>0</v>
      </c>
      <c r="P36" s="379" t="n">
        <v>0</v>
      </c>
      <c r="Q36" s="379" t="n">
        <v>0</v>
      </c>
      <c r="R36" s="379" t="n">
        <v>0</v>
      </c>
      <c r="S36" s="379" t="n">
        <v>0</v>
      </c>
      <c r="T36" s="379" t="n">
        <v>0</v>
      </c>
      <c r="U36" s="379" t="n">
        <v>0</v>
      </c>
      <c r="V36" s="379" t="n">
        <v>0</v>
      </c>
      <c r="X36" s="381"/>
      <c r="Y36" s="380"/>
      <c r="Z36" s="381" t="str">
        <f aca="false">IF(D36=0,"",LN(D36))</f>
        <v/>
      </c>
      <c r="AA36" s="381" t="str">
        <f aca="false">IF(E36=0,"",LN(E36))</f>
        <v/>
      </c>
      <c r="AB36" s="381" t="str">
        <f aca="false">IF(F36=0,"",LN(F36))</f>
        <v/>
      </c>
      <c r="AC36" s="381" t="str">
        <f aca="false">IF(G36=0,"",LN(G36))</f>
        <v/>
      </c>
      <c r="AD36" s="381" t="str">
        <f aca="false">IF(H36=0,"",LN(H36))</f>
        <v/>
      </c>
      <c r="AE36" s="381" t="str">
        <f aca="false">IF(I36=0,"",LN(I36))</f>
        <v/>
      </c>
      <c r="AF36" s="381" t="str">
        <f aca="false">IF(J36=0,"",LN(J36))</f>
        <v/>
      </c>
      <c r="AG36" s="381" t="str">
        <f aca="false">IF(K36=0,"",LN(K36))</f>
        <v/>
      </c>
      <c r="AI36" s="381"/>
      <c r="AJ36" s="380"/>
      <c r="AK36" s="381" t="str">
        <f aca="false">IF(O36=0,"",LN(O36))</f>
        <v/>
      </c>
      <c r="AL36" s="381" t="str">
        <f aca="false">IF(P36=0,"",LN(P36))</f>
        <v/>
      </c>
      <c r="AM36" s="381" t="str">
        <f aca="false">IF(Q36=0,"",LN(Q36))</f>
        <v/>
      </c>
      <c r="AN36" s="381" t="str">
        <f aca="false">IF(R36=0,"",LN(R36))</f>
        <v/>
      </c>
      <c r="AO36" s="381" t="str">
        <f aca="false">IF(S36=0,"",LN(S36))</f>
        <v/>
      </c>
      <c r="AP36" s="381" t="str">
        <f aca="false">IF(T36=0,"",LN(T36))</f>
        <v/>
      </c>
      <c r="AQ36" s="381" t="str">
        <f aca="false">IF(U36=0,"",LN(U36))</f>
        <v/>
      </c>
      <c r="AR36" s="381" t="str">
        <f aca="false">IF(V36=0,"",LN(V36))</f>
        <v/>
      </c>
    </row>
    <row r="37" customFormat="false" ht="12" hidden="false" customHeight="false" outlineLevel="0" collapsed="false">
      <c r="A37" s="358" t="n">
        <v>3</v>
      </c>
      <c r="B37" s="379" t="n">
        <v>0</v>
      </c>
      <c r="C37" s="379" t="n">
        <v>0</v>
      </c>
      <c r="D37" s="378" t="n">
        <v>1</v>
      </c>
      <c r="E37" s="379" t="n">
        <v>0</v>
      </c>
      <c r="F37" s="379" t="n">
        <v>0</v>
      </c>
      <c r="G37" s="379" t="n">
        <v>0</v>
      </c>
      <c r="H37" s="379" t="n">
        <v>0</v>
      </c>
      <c r="I37" s="379" t="n">
        <v>0</v>
      </c>
      <c r="J37" s="379" t="n">
        <v>0</v>
      </c>
      <c r="K37" s="379" t="n">
        <v>0</v>
      </c>
      <c r="L37" s="358" t="n">
        <v>3</v>
      </c>
      <c r="M37" s="379" t="n">
        <v>0</v>
      </c>
      <c r="N37" s="379" t="n">
        <v>0</v>
      </c>
      <c r="O37" s="378" t="n">
        <v>1</v>
      </c>
      <c r="P37" s="379" t="n">
        <v>0</v>
      </c>
      <c r="Q37" s="379" t="n">
        <v>0</v>
      </c>
      <c r="R37" s="379" t="n">
        <v>0</v>
      </c>
      <c r="S37" s="379" t="n">
        <v>0</v>
      </c>
      <c r="T37" s="379" t="n">
        <v>0</v>
      </c>
      <c r="U37" s="379" t="n">
        <v>0</v>
      </c>
      <c r="V37" s="379" t="n">
        <v>0</v>
      </c>
      <c r="X37" s="381"/>
      <c r="Y37" s="381"/>
      <c r="Z37" s="380"/>
      <c r="AA37" s="381" t="str">
        <f aca="false">IF(E37=0,"",LN(E37))</f>
        <v/>
      </c>
      <c r="AB37" s="381" t="str">
        <f aca="false">IF(F37=0,"",LN(F37))</f>
        <v/>
      </c>
      <c r="AC37" s="381" t="str">
        <f aca="false">IF(G37=0,"",LN(G37))</f>
        <v/>
      </c>
      <c r="AD37" s="381" t="str">
        <f aca="false">IF(H37=0,"",LN(H37))</f>
        <v/>
      </c>
      <c r="AE37" s="381" t="str">
        <f aca="false">IF(I37=0,"",LN(I37))</f>
        <v/>
      </c>
      <c r="AF37" s="381" t="str">
        <f aca="false">IF(J37=0,"",LN(J37))</f>
        <v/>
      </c>
      <c r="AG37" s="381" t="str">
        <f aca="false">IF(K37=0,"",LN(K37))</f>
        <v/>
      </c>
      <c r="AI37" s="381"/>
      <c r="AJ37" s="381"/>
      <c r="AK37" s="380"/>
      <c r="AL37" s="381" t="str">
        <f aca="false">IF(P37=0,"",LN(P37))</f>
        <v/>
      </c>
      <c r="AM37" s="381" t="str">
        <f aca="false">IF(Q37=0,"",LN(Q37))</f>
        <v/>
      </c>
      <c r="AN37" s="381" t="str">
        <f aca="false">IF(R37=0,"",LN(R37))</f>
        <v/>
      </c>
      <c r="AO37" s="381" t="str">
        <f aca="false">IF(S37=0,"",LN(S37))</f>
        <v/>
      </c>
      <c r="AP37" s="381" t="str">
        <f aca="false">IF(T37=0,"",LN(T37))</f>
        <v/>
      </c>
      <c r="AQ37" s="381" t="str">
        <f aca="false">IF(U37=0,"",LN(U37))</f>
        <v/>
      </c>
      <c r="AR37" s="381" t="str">
        <f aca="false">IF(V37=0,"",LN(V37))</f>
        <v/>
      </c>
    </row>
    <row r="38" customFormat="false" ht="12" hidden="false" customHeight="false" outlineLevel="0" collapsed="false">
      <c r="A38" s="358" t="n">
        <v>4</v>
      </c>
      <c r="B38" s="379" t="n">
        <v>0</v>
      </c>
      <c r="C38" s="379" t="n">
        <v>0</v>
      </c>
      <c r="D38" s="379" t="n">
        <v>0</v>
      </c>
      <c r="E38" s="378" t="n">
        <v>1</v>
      </c>
      <c r="F38" s="379" t="n">
        <v>0</v>
      </c>
      <c r="G38" s="379" t="n">
        <v>0</v>
      </c>
      <c r="H38" s="379" t="n">
        <v>0</v>
      </c>
      <c r="I38" s="379" t="n">
        <v>0</v>
      </c>
      <c r="J38" s="379" t="n">
        <v>0</v>
      </c>
      <c r="K38" s="379" t="n">
        <v>0</v>
      </c>
      <c r="L38" s="358" t="n">
        <v>4</v>
      </c>
      <c r="M38" s="379" t="n">
        <v>0</v>
      </c>
      <c r="N38" s="379" t="n">
        <v>0</v>
      </c>
      <c r="O38" s="379" t="n">
        <v>0</v>
      </c>
      <c r="P38" s="378" t="n">
        <v>1</v>
      </c>
      <c r="Q38" s="379" t="n">
        <v>0</v>
      </c>
      <c r="R38" s="379" t="n">
        <v>0</v>
      </c>
      <c r="S38" s="379" t="n">
        <v>0</v>
      </c>
      <c r="T38" s="379" t="n">
        <v>0</v>
      </c>
      <c r="U38" s="379" t="n">
        <v>0</v>
      </c>
      <c r="V38" s="379" t="n">
        <v>0</v>
      </c>
      <c r="X38" s="381"/>
      <c r="Y38" s="381"/>
      <c r="Z38" s="381"/>
      <c r="AA38" s="380"/>
      <c r="AB38" s="381" t="str">
        <f aca="false">IF(F38=0,"",LN(F38))</f>
        <v/>
      </c>
      <c r="AC38" s="381" t="str">
        <f aca="false">IF(G38=0,"",LN(G38))</f>
        <v/>
      </c>
      <c r="AD38" s="381" t="str">
        <f aca="false">IF(H38=0,"",LN(H38))</f>
        <v/>
      </c>
      <c r="AE38" s="381" t="str">
        <f aca="false">IF(I38=0,"",LN(I38))</f>
        <v/>
      </c>
      <c r="AF38" s="381" t="str">
        <f aca="false">IF(J38=0,"",LN(J38))</f>
        <v/>
      </c>
      <c r="AG38" s="381" t="str">
        <f aca="false">IF(K38=0,"",LN(K38))</f>
        <v/>
      </c>
      <c r="AI38" s="381"/>
      <c r="AJ38" s="381"/>
      <c r="AK38" s="381"/>
      <c r="AL38" s="380"/>
      <c r="AM38" s="381" t="str">
        <f aca="false">IF(Q38=0,"",LN(Q38))</f>
        <v/>
      </c>
      <c r="AN38" s="381" t="str">
        <f aca="false">IF(R38=0,"",LN(R38))</f>
        <v/>
      </c>
      <c r="AO38" s="381" t="str">
        <f aca="false">IF(S38=0,"",LN(S38))</f>
        <v/>
      </c>
      <c r="AP38" s="381" t="str">
        <f aca="false">IF(T38=0,"",LN(T38))</f>
        <v/>
      </c>
      <c r="AQ38" s="381" t="str">
        <f aca="false">IF(U38=0,"",LN(U38))</f>
        <v/>
      </c>
      <c r="AR38" s="381" t="str">
        <f aca="false">IF(V38=0,"",LN(V38))</f>
        <v/>
      </c>
    </row>
    <row r="39" customFormat="false" ht="12" hidden="false" customHeight="false" outlineLevel="0" collapsed="false">
      <c r="A39" s="358" t="n">
        <v>5</v>
      </c>
      <c r="B39" s="379" t="n">
        <v>0</v>
      </c>
      <c r="C39" s="379" t="n">
        <v>0</v>
      </c>
      <c r="D39" s="379" t="n">
        <v>0</v>
      </c>
      <c r="E39" s="379" t="n">
        <v>0</v>
      </c>
      <c r="F39" s="378" t="n">
        <v>1</v>
      </c>
      <c r="G39" s="379" t="n">
        <v>0</v>
      </c>
      <c r="H39" s="379" t="n">
        <v>0</v>
      </c>
      <c r="I39" s="379" t="n">
        <v>0</v>
      </c>
      <c r="J39" s="379" t="n">
        <v>0</v>
      </c>
      <c r="K39" s="379" t="n">
        <v>0</v>
      </c>
      <c r="L39" s="358" t="n">
        <v>5</v>
      </c>
      <c r="M39" s="379" t="n">
        <v>0</v>
      </c>
      <c r="N39" s="379" t="n">
        <v>0</v>
      </c>
      <c r="O39" s="379" t="n">
        <v>0</v>
      </c>
      <c r="P39" s="379" t="n">
        <v>0</v>
      </c>
      <c r="Q39" s="378" t="n">
        <v>1</v>
      </c>
      <c r="R39" s="379" t="n">
        <v>0</v>
      </c>
      <c r="S39" s="379" t="n">
        <v>0</v>
      </c>
      <c r="T39" s="379" t="n">
        <v>0</v>
      </c>
      <c r="U39" s="379" t="n">
        <v>0</v>
      </c>
      <c r="V39" s="379" t="n">
        <v>0</v>
      </c>
      <c r="X39" s="381"/>
      <c r="Y39" s="381"/>
      <c r="Z39" s="381"/>
      <c r="AA39" s="381"/>
      <c r="AB39" s="380"/>
      <c r="AC39" s="381" t="str">
        <f aca="false">IF(G39=0,"",LN(G39))</f>
        <v/>
      </c>
      <c r="AD39" s="381" t="str">
        <f aca="false">IF(H39=0,"",LN(H39))</f>
        <v/>
      </c>
      <c r="AE39" s="381" t="str">
        <f aca="false">IF(I39=0,"",LN(I39))</f>
        <v/>
      </c>
      <c r="AF39" s="381" t="str">
        <f aca="false">IF(J39=0,"",LN(J39))</f>
        <v/>
      </c>
      <c r="AG39" s="381" t="str">
        <f aca="false">IF(K39=0,"",LN(K39))</f>
        <v/>
      </c>
      <c r="AI39" s="381"/>
      <c r="AJ39" s="381"/>
      <c r="AK39" s="381"/>
      <c r="AL39" s="381"/>
      <c r="AM39" s="380"/>
      <c r="AN39" s="381" t="str">
        <f aca="false">IF(R39=0,"",LN(R39))</f>
        <v/>
      </c>
      <c r="AO39" s="381" t="str">
        <f aca="false">IF(S39=0,"",LN(S39))</f>
        <v/>
      </c>
      <c r="AP39" s="381" t="str">
        <f aca="false">IF(T39=0,"",LN(T39))</f>
        <v/>
      </c>
      <c r="AQ39" s="381" t="str">
        <f aca="false">IF(U39=0,"",LN(U39))</f>
        <v/>
      </c>
      <c r="AR39" s="381" t="str">
        <f aca="false">IF(V39=0,"",LN(V39))</f>
        <v/>
      </c>
    </row>
    <row r="40" customFormat="false" ht="12" hidden="false" customHeight="false" outlineLevel="0" collapsed="false">
      <c r="A40" s="358" t="n">
        <v>6</v>
      </c>
      <c r="B40" s="379" t="n">
        <v>0</v>
      </c>
      <c r="C40" s="379" t="n">
        <v>0</v>
      </c>
      <c r="D40" s="379" t="n">
        <v>0</v>
      </c>
      <c r="E40" s="379" t="n">
        <v>0</v>
      </c>
      <c r="F40" s="379" t="n">
        <v>0</v>
      </c>
      <c r="G40" s="378" t="n">
        <v>1</v>
      </c>
      <c r="H40" s="379" t="n">
        <v>0</v>
      </c>
      <c r="I40" s="379" t="n">
        <v>0</v>
      </c>
      <c r="J40" s="379" t="n">
        <v>0</v>
      </c>
      <c r="K40" s="379" t="n">
        <v>0</v>
      </c>
      <c r="L40" s="358" t="n">
        <v>6</v>
      </c>
      <c r="M40" s="379" t="n">
        <v>0</v>
      </c>
      <c r="N40" s="379" t="n">
        <v>0</v>
      </c>
      <c r="O40" s="379" t="n">
        <v>0</v>
      </c>
      <c r="P40" s="379" t="n">
        <v>0</v>
      </c>
      <c r="Q40" s="379" t="n">
        <v>0</v>
      </c>
      <c r="R40" s="378" t="n">
        <v>1</v>
      </c>
      <c r="S40" s="379" t="n">
        <v>0</v>
      </c>
      <c r="T40" s="379" t="n">
        <v>0</v>
      </c>
      <c r="U40" s="379" t="n">
        <v>0</v>
      </c>
      <c r="V40" s="379" t="n">
        <v>0</v>
      </c>
      <c r="X40" s="381"/>
      <c r="Y40" s="381"/>
      <c r="Z40" s="381"/>
      <c r="AA40" s="381"/>
      <c r="AB40" s="381"/>
      <c r="AC40" s="380"/>
      <c r="AD40" s="381" t="str">
        <f aca="false">IF(H40=0,"",LN(H40))</f>
        <v/>
      </c>
      <c r="AE40" s="381" t="str">
        <f aca="false">IF(I40=0,"",LN(I40))</f>
        <v/>
      </c>
      <c r="AF40" s="381" t="str">
        <f aca="false">IF(J40=0,"",LN(J40))</f>
        <v/>
      </c>
      <c r="AG40" s="381" t="str">
        <f aca="false">IF(K40=0,"",LN(K40))</f>
        <v/>
      </c>
      <c r="AI40" s="381"/>
      <c r="AJ40" s="381"/>
      <c r="AK40" s="381"/>
      <c r="AL40" s="381"/>
      <c r="AM40" s="381"/>
      <c r="AN40" s="380"/>
      <c r="AO40" s="381" t="str">
        <f aca="false">IF(S40=0,"",LN(S40))</f>
        <v/>
      </c>
      <c r="AP40" s="381" t="str">
        <f aca="false">IF(T40=0,"",LN(T40))</f>
        <v/>
      </c>
      <c r="AQ40" s="381" t="str">
        <f aca="false">IF(U40=0,"",LN(U40))</f>
        <v/>
      </c>
      <c r="AR40" s="381" t="str">
        <f aca="false">IF(V40=0,"",LN(V40))</f>
        <v/>
      </c>
    </row>
    <row r="41" customFormat="false" ht="12" hidden="false" customHeight="false" outlineLevel="0" collapsed="false">
      <c r="A41" s="358" t="n">
        <v>7</v>
      </c>
      <c r="B41" s="379" t="n">
        <v>0</v>
      </c>
      <c r="C41" s="379" t="n">
        <v>0</v>
      </c>
      <c r="D41" s="379" t="n">
        <v>0</v>
      </c>
      <c r="E41" s="379" t="n">
        <v>0</v>
      </c>
      <c r="F41" s="379" t="n">
        <v>0</v>
      </c>
      <c r="G41" s="379" t="n">
        <v>0</v>
      </c>
      <c r="H41" s="378" t="n">
        <v>1</v>
      </c>
      <c r="I41" s="379" t="n">
        <v>0</v>
      </c>
      <c r="J41" s="379" t="n">
        <v>0</v>
      </c>
      <c r="K41" s="379" t="n">
        <v>0</v>
      </c>
      <c r="L41" s="358" t="n">
        <v>7</v>
      </c>
      <c r="M41" s="379" t="n">
        <v>0</v>
      </c>
      <c r="N41" s="379" t="n">
        <v>0</v>
      </c>
      <c r="O41" s="379" t="n">
        <v>0</v>
      </c>
      <c r="P41" s="379" t="n">
        <v>0</v>
      </c>
      <c r="Q41" s="379" t="n">
        <v>0</v>
      </c>
      <c r="R41" s="379" t="n">
        <v>0</v>
      </c>
      <c r="S41" s="378" t="n">
        <v>1</v>
      </c>
      <c r="T41" s="379" t="n">
        <v>0</v>
      </c>
      <c r="U41" s="379" t="n">
        <v>0</v>
      </c>
      <c r="V41" s="379" t="n">
        <v>0</v>
      </c>
      <c r="X41" s="381"/>
      <c r="Y41" s="381"/>
      <c r="Z41" s="381"/>
      <c r="AA41" s="381"/>
      <c r="AB41" s="381"/>
      <c r="AC41" s="381"/>
      <c r="AD41" s="380"/>
      <c r="AE41" s="381" t="str">
        <f aca="false">IF(I41=0,"",LN(I41))</f>
        <v/>
      </c>
      <c r="AF41" s="381" t="str">
        <f aca="false">IF(J41=0,"",LN(J41))</f>
        <v/>
      </c>
      <c r="AG41" s="381" t="str">
        <f aca="false">IF(K41=0,"",LN(K41))</f>
        <v/>
      </c>
      <c r="AI41" s="381"/>
      <c r="AJ41" s="381"/>
      <c r="AK41" s="381"/>
      <c r="AL41" s="381"/>
      <c r="AM41" s="381"/>
      <c r="AN41" s="381"/>
      <c r="AO41" s="380"/>
      <c r="AP41" s="381" t="str">
        <f aca="false">IF(T41=0,"",LN(T41))</f>
        <v/>
      </c>
      <c r="AQ41" s="381" t="str">
        <f aca="false">IF(U41=0,"",LN(U41))</f>
        <v/>
      </c>
      <c r="AR41" s="381" t="str">
        <f aca="false">IF(V41=0,"",LN(V41))</f>
        <v/>
      </c>
    </row>
    <row r="42" customFormat="false" ht="12" hidden="false" customHeight="false" outlineLevel="0" collapsed="false">
      <c r="A42" s="358" t="n">
        <v>8</v>
      </c>
      <c r="B42" s="379" t="n">
        <v>0</v>
      </c>
      <c r="C42" s="379" t="n">
        <v>0</v>
      </c>
      <c r="D42" s="379" t="n">
        <v>0</v>
      </c>
      <c r="E42" s="379" t="n">
        <v>0</v>
      </c>
      <c r="F42" s="379" t="n">
        <v>0</v>
      </c>
      <c r="G42" s="379" t="n">
        <v>0</v>
      </c>
      <c r="H42" s="379" t="n">
        <v>0</v>
      </c>
      <c r="I42" s="378" t="n">
        <v>1</v>
      </c>
      <c r="J42" s="379" t="n">
        <v>0</v>
      </c>
      <c r="K42" s="379" t="n">
        <v>0</v>
      </c>
      <c r="L42" s="358" t="n">
        <v>8</v>
      </c>
      <c r="M42" s="379" t="n">
        <v>0</v>
      </c>
      <c r="N42" s="379" t="n">
        <v>0</v>
      </c>
      <c r="O42" s="379" t="n">
        <v>0</v>
      </c>
      <c r="P42" s="379" t="n">
        <v>0</v>
      </c>
      <c r="Q42" s="379" t="n">
        <v>0</v>
      </c>
      <c r="R42" s="379" t="n">
        <v>0</v>
      </c>
      <c r="S42" s="379" t="n">
        <v>0</v>
      </c>
      <c r="T42" s="378" t="n">
        <v>1</v>
      </c>
      <c r="U42" s="379" t="n">
        <v>0</v>
      </c>
      <c r="V42" s="379" t="n">
        <v>0</v>
      </c>
      <c r="X42" s="381"/>
      <c r="Y42" s="381"/>
      <c r="Z42" s="381"/>
      <c r="AA42" s="381"/>
      <c r="AB42" s="381"/>
      <c r="AC42" s="381"/>
      <c r="AD42" s="381"/>
      <c r="AE42" s="380"/>
      <c r="AF42" s="381" t="str">
        <f aca="false">IF(J42=0,"",LN(J42))</f>
        <v/>
      </c>
      <c r="AG42" s="381" t="str">
        <f aca="false">IF(K42=0,"",LN(K42))</f>
        <v/>
      </c>
      <c r="AI42" s="381"/>
      <c r="AJ42" s="381"/>
      <c r="AK42" s="381"/>
      <c r="AL42" s="381"/>
      <c r="AM42" s="381"/>
      <c r="AN42" s="381"/>
      <c r="AO42" s="381"/>
      <c r="AP42" s="380"/>
      <c r="AQ42" s="381" t="str">
        <f aca="false">IF(U42=0,"",LN(U42))</f>
        <v/>
      </c>
      <c r="AR42" s="381" t="str">
        <f aca="false">IF(V42=0,"",LN(V42))</f>
        <v/>
      </c>
    </row>
    <row r="43" customFormat="false" ht="12" hidden="false" customHeight="false" outlineLevel="0" collapsed="false">
      <c r="A43" s="358" t="n">
        <v>9</v>
      </c>
      <c r="B43" s="379" t="n">
        <v>0</v>
      </c>
      <c r="C43" s="379" t="n">
        <v>0</v>
      </c>
      <c r="D43" s="379" t="n">
        <v>0</v>
      </c>
      <c r="E43" s="379" t="n">
        <v>0</v>
      </c>
      <c r="F43" s="379" t="n">
        <v>0</v>
      </c>
      <c r="G43" s="379" t="n">
        <v>0</v>
      </c>
      <c r="H43" s="379" t="n">
        <v>0</v>
      </c>
      <c r="I43" s="379" t="n">
        <v>0</v>
      </c>
      <c r="J43" s="378" t="n">
        <v>1</v>
      </c>
      <c r="K43" s="379" t="n">
        <v>0</v>
      </c>
      <c r="L43" s="358" t="n">
        <v>9</v>
      </c>
      <c r="M43" s="379" t="n">
        <v>0</v>
      </c>
      <c r="N43" s="379" t="n">
        <v>0</v>
      </c>
      <c r="O43" s="379" t="n">
        <v>0</v>
      </c>
      <c r="P43" s="379" t="n">
        <v>0</v>
      </c>
      <c r="Q43" s="379" t="n">
        <v>0</v>
      </c>
      <c r="R43" s="379" t="n">
        <v>0</v>
      </c>
      <c r="S43" s="379" t="n">
        <v>0</v>
      </c>
      <c r="T43" s="379" t="n">
        <v>0</v>
      </c>
      <c r="U43" s="378" t="n">
        <v>1</v>
      </c>
      <c r="V43" s="379" t="n">
        <v>0</v>
      </c>
      <c r="X43" s="381"/>
      <c r="Y43" s="381"/>
      <c r="Z43" s="381"/>
      <c r="AA43" s="381"/>
      <c r="AB43" s="381"/>
      <c r="AC43" s="381"/>
      <c r="AD43" s="381"/>
      <c r="AE43" s="381"/>
      <c r="AF43" s="380"/>
      <c r="AG43" s="381" t="str">
        <f aca="false">IF(K43=0,"",LN(K43))</f>
        <v/>
      </c>
      <c r="AI43" s="381"/>
      <c r="AJ43" s="381"/>
      <c r="AK43" s="381"/>
      <c r="AL43" s="381"/>
      <c r="AM43" s="381"/>
      <c r="AN43" s="381"/>
      <c r="AO43" s="381"/>
      <c r="AP43" s="381"/>
      <c r="AQ43" s="380"/>
      <c r="AR43" s="381" t="str">
        <f aca="false">IF(V43=0,"",LN(V43))</f>
        <v/>
      </c>
    </row>
    <row r="44" customFormat="false" ht="12" hidden="false" customHeight="false" outlineLevel="0" collapsed="false">
      <c r="A44" s="358" t="n">
        <v>10</v>
      </c>
      <c r="B44" s="379" t="n">
        <v>0</v>
      </c>
      <c r="C44" s="379" t="n">
        <v>0</v>
      </c>
      <c r="D44" s="379" t="n">
        <v>0</v>
      </c>
      <c r="E44" s="379" t="n">
        <v>0</v>
      </c>
      <c r="F44" s="379" t="n">
        <v>0</v>
      </c>
      <c r="G44" s="379" t="n">
        <v>0</v>
      </c>
      <c r="H44" s="379" t="n">
        <v>0</v>
      </c>
      <c r="I44" s="379" t="n">
        <v>0</v>
      </c>
      <c r="J44" s="379" t="n">
        <v>0</v>
      </c>
      <c r="K44" s="378" t="n">
        <v>1</v>
      </c>
      <c r="L44" s="358" t="n">
        <v>10</v>
      </c>
      <c r="M44" s="379" t="n">
        <v>0</v>
      </c>
      <c r="N44" s="379" t="n">
        <v>0</v>
      </c>
      <c r="O44" s="379" t="n">
        <v>0</v>
      </c>
      <c r="P44" s="379" t="n">
        <v>0</v>
      </c>
      <c r="Q44" s="379" t="n">
        <v>0</v>
      </c>
      <c r="R44" s="379" t="n">
        <v>0</v>
      </c>
      <c r="S44" s="379" t="n">
        <v>0</v>
      </c>
      <c r="T44" s="379" t="n">
        <v>0</v>
      </c>
      <c r="U44" s="379" t="n">
        <v>0</v>
      </c>
      <c r="V44" s="378" t="n">
        <v>1</v>
      </c>
      <c r="X44" s="381"/>
      <c r="Y44" s="381"/>
      <c r="Z44" s="381"/>
      <c r="AA44" s="381"/>
      <c r="AB44" s="381"/>
      <c r="AC44" s="381"/>
      <c r="AD44" s="381"/>
      <c r="AE44" s="381"/>
      <c r="AF44" s="381"/>
      <c r="AG44" s="380"/>
      <c r="AI44" s="381"/>
      <c r="AJ44" s="381"/>
      <c r="AK44" s="381"/>
      <c r="AL44" s="381"/>
      <c r="AM44" s="381"/>
      <c r="AN44" s="381"/>
      <c r="AO44" s="381"/>
      <c r="AP44" s="381"/>
      <c r="AQ44" s="381"/>
      <c r="AR44" s="380"/>
    </row>
    <row r="46" customFormat="false" ht="12.75" hidden="false" customHeight="false" outlineLevel="0" collapsed="false">
      <c r="A46" s="369" t="n">
        <v>6</v>
      </c>
      <c r="B46" s="370" t="str">
        <f aca="true">INDIRECT(ADDRESS(17,2,1,1,"in"&amp;TEXT(A46,"@")))</f>
        <v>Participant 6</v>
      </c>
      <c r="C46" s="370"/>
      <c r="D46" s="370"/>
      <c r="E46" s="370"/>
      <c r="F46" s="370"/>
      <c r="G46" s="370"/>
      <c r="H46" s="371" t="n">
        <f aca="true">INDIRECT(ADDRESS(17,6,1,1,"in"&amp;TEXT(A46,"@")))</f>
        <v>1</v>
      </c>
      <c r="I46" s="372"/>
      <c r="J46" s="373" t="n">
        <f aca="true">INDIRECT(ADDRESS(17,7,1,1,"in"&amp;TEXT(A46,"@")))</f>
        <v>0</v>
      </c>
      <c r="K46" s="373"/>
      <c r="L46" s="369" t="n">
        <v>7</v>
      </c>
      <c r="M46" s="370" t="str">
        <f aca="true">INDIRECT(ADDRESS(17,2,1,1,"in"&amp;TEXT(L46,"@")))</f>
        <v>Participant 7</v>
      </c>
      <c r="N46" s="370"/>
      <c r="O46" s="370"/>
      <c r="P46" s="370"/>
      <c r="Q46" s="370"/>
      <c r="R46" s="370"/>
      <c r="S46" s="371" t="n">
        <f aca="true">INDIRECT(ADDRESS(17,6,1,1,"in"&amp;TEXT(L46,"@")))</f>
        <v>1</v>
      </c>
      <c r="T46" s="372"/>
      <c r="U46" s="373" t="n">
        <f aca="true">INDIRECT(ADDRESS(17,7,1,1,"in"&amp;TEXT(L46,"@")))</f>
        <v>0</v>
      </c>
      <c r="V46" s="373"/>
      <c r="X46" s="370"/>
      <c r="Y46" s="370"/>
      <c r="Z46" s="370"/>
      <c r="AA46" s="370"/>
      <c r="AB46" s="370"/>
      <c r="AC46" s="370"/>
      <c r="AD46" s="375" t="n">
        <f aca="false">IF(A46&gt;$N$4,0,IF(H46=0,1,H46))</f>
        <v>0</v>
      </c>
      <c r="AE46" s="375"/>
      <c r="AF46" s="373"/>
      <c r="AG46" s="373"/>
      <c r="AH46" s="369"/>
      <c r="AI46" s="370"/>
      <c r="AJ46" s="370"/>
      <c r="AK46" s="370"/>
      <c r="AL46" s="370"/>
      <c r="AM46" s="370"/>
      <c r="AN46" s="370"/>
      <c r="AO46" s="375" t="n">
        <f aca="false">IF(L46&gt;$N$4,0,IF(S46=0,1,S46))</f>
        <v>0</v>
      </c>
      <c r="AP46" s="375"/>
      <c r="AQ46" s="373"/>
      <c r="AR46" s="373"/>
    </row>
    <row r="47" customFormat="false" ht="12" hidden="false" customHeight="false" outlineLevel="0" collapsed="false">
      <c r="B47" s="376" t="n">
        <v>1</v>
      </c>
      <c r="C47" s="376" t="n">
        <v>2</v>
      </c>
      <c r="D47" s="376" t="n">
        <v>3</v>
      </c>
      <c r="E47" s="376" t="n">
        <v>4</v>
      </c>
      <c r="F47" s="376" t="n">
        <v>5</v>
      </c>
      <c r="G47" s="376" t="n">
        <v>6</v>
      </c>
      <c r="H47" s="376" t="n">
        <v>7</v>
      </c>
      <c r="I47" s="376" t="n">
        <v>8</v>
      </c>
      <c r="J47" s="358" t="n">
        <v>9</v>
      </c>
      <c r="K47" s="358" t="n">
        <v>10</v>
      </c>
      <c r="M47" s="376" t="n">
        <v>1</v>
      </c>
      <c r="N47" s="376" t="n">
        <v>2</v>
      </c>
      <c r="O47" s="376" t="n">
        <v>3</v>
      </c>
      <c r="P47" s="376" t="n">
        <v>4</v>
      </c>
      <c r="Q47" s="376" t="n">
        <v>5</v>
      </c>
      <c r="R47" s="376" t="n">
        <v>6</v>
      </c>
      <c r="S47" s="376" t="n">
        <v>7</v>
      </c>
      <c r="T47" s="376" t="n">
        <v>8</v>
      </c>
      <c r="U47" s="358" t="n">
        <v>9</v>
      </c>
      <c r="V47" s="358" t="n">
        <v>10</v>
      </c>
      <c r="X47" s="376"/>
      <c r="Y47" s="376"/>
      <c r="Z47" s="376"/>
      <c r="AA47" s="376"/>
      <c r="AB47" s="376"/>
      <c r="AC47" s="376"/>
      <c r="AD47" s="376"/>
      <c r="AE47" s="376"/>
      <c r="AI47" s="376"/>
      <c r="AJ47" s="376"/>
      <c r="AK47" s="376"/>
      <c r="AL47" s="376"/>
      <c r="AM47" s="376"/>
      <c r="AN47" s="376"/>
      <c r="AO47" s="376"/>
      <c r="AP47" s="376"/>
    </row>
    <row r="48" customFormat="false" ht="12" hidden="false" customHeight="false" outlineLevel="0" collapsed="false">
      <c r="A48" s="358" t="n">
        <v>1</v>
      </c>
      <c r="B48" s="378" t="n">
        <f aca="false" t="array" ref="B48:K57">Matrix6</f>
        <v>1</v>
      </c>
      <c r="C48" s="379" t="n">
        <v>1</v>
      </c>
      <c r="D48" s="379" t="n">
        <v>0</v>
      </c>
      <c r="E48" s="379" t="n">
        <v>0</v>
      </c>
      <c r="F48" s="379" t="n">
        <v>0</v>
      </c>
      <c r="G48" s="379" t="n">
        <v>0</v>
      </c>
      <c r="H48" s="379" t="n">
        <v>0</v>
      </c>
      <c r="I48" s="379" t="n">
        <v>0</v>
      </c>
      <c r="J48" s="379" t="n">
        <v>0</v>
      </c>
      <c r="K48" s="379" t="n">
        <v>0</v>
      </c>
      <c r="L48" s="358" t="n">
        <v>1</v>
      </c>
      <c r="M48" s="378" t="n">
        <f aca="false" t="array" ref="M48:V57">Matrix7</f>
        <v>1</v>
      </c>
      <c r="N48" s="379" t="n">
        <v>1</v>
      </c>
      <c r="O48" s="379" t="n">
        <v>0</v>
      </c>
      <c r="P48" s="379" t="n">
        <v>0</v>
      </c>
      <c r="Q48" s="379" t="n">
        <v>0</v>
      </c>
      <c r="R48" s="379" t="n">
        <v>0</v>
      </c>
      <c r="S48" s="379" t="n">
        <v>0</v>
      </c>
      <c r="T48" s="379" t="n">
        <v>0</v>
      </c>
      <c r="U48" s="379" t="n">
        <v>0</v>
      </c>
      <c r="V48" s="379" t="n">
        <v>0</v>
      </c>
      <c r="X48" s="380"/>
      <c r="Y48" s="381" t="n">
        <f aca="false">IF(C48=0,"",LN(C48))</f>
        <v>0</v>
      </c>
      <c r="Z48" s="381" t="str">
        <f aca="false">IF(D48=0,"",LN(D48))</f>
        <v/>
      </c>
      <c r="AA48" s="381" t="str">
        <f aca="false">IF(E48=0,"",LN(E48))</f>
        <v/>
      </c>
      <c r="AB48" s="381" t="str">
        <f aca="false">IF(F48=0,"",LN(F48))</f>
        <v/>
      </c>
      <c r="AC48" s="381" t="str">
        <f aca="false">IF(G48=0,"",LN(G48))</f>
        <v/>
      </c>
      <c r="AD48" s="381" t="str">
        <f aca="false">IF(H48=0,"",LN(H48))</f>
        <v/>
      </c>
      <c r="AE48" s="381" t="str">
        <f aca="false">IF(I48=0,"",LN(I48))</f>
        <v/>
      </c>
      <c r="AF48" s="381" t="str">
        <f aca="false">IF(J48=0,"",LN(J48))</f>
        <v/>
      </c>
      <c r="AG48" s="381" t="str">
        <f aca="false">IF(K48=0,"",LN(K48))</f>
        <v/>
      </c>
      <c r="AI48" s="380"/>
      <c r="AJ48" s="381" t="n">
        <f aca="false">IF(N48=0,"",LN(N48))</f>
        <v>0</v>
      </c>
      <c r="AK48" s="381" t="str">
        <f aca="false">IF(O48=0,"",LN(O48))</f>
        <v/>
      </c>
      <c r="AL48" s="381" t="str">
        <f aca="false">IF(P48=0,"",LN(P48))</f>
        <v/>
      </c>
      <c r="AM48" s="381" t="str">
        <f aca="false">IF(Q48=0,"",LN(Q48))</f>
        <v/>
      </c>
      <c r="AN48" s="381" t="str">
        <f aca="false">IF(R48=0,"",LN(R48))</f>
        <v/>
      </c>
      <c r="AO48" s="381" t="str">
        <f aca="false">IF(S48=0,"",LN(S48))</f>
        <v/>
      </c>
      <c r="AP48" s="381" t="str">
        <f aca="false">IF(T48=0,"",LN(T48))</f>
        <v/>
      </c>
      <c r="AQ48" s="381" t="str">
        <f aca="false">IF(U48=0,"",LN(U48))</f>
        <v/>
      </c>
      <c r="AR48" s="381" t="str">
        <f aca="false">IF(V48=0,"",LN(V48))</f>
        <v/>
      </c>
    </row>
    <row r="49" customFormat="false" ht="12" hidden="false" customHeight="false" outlineLevel="0" collapsed="false">
      <c r="A49" s="358" t="n">
        <v>2</v>
      </c>
      <c r="B49" s="379" t="n">
        <v>1</v>
      </c>
      <c r="C49" s="378" t="n">
        <v>1</v>
      </c>
      <c r="D49" s="379" t="n">
        <v>0</v>
      </c>
      <c r="E49" s="379" t="n">
        <v>0</v>
      </c>
      <c r="F49" s="379" t="n">
        <v>0</v>
      </c>
      <c r="G49" s="379" t="n">
        <v>0</v>
      </c>
      <c r="H49" s="379" t="n">
        <v>0</v>
      </c>
      <c r="I49" s="379" t="n">
        <v>0</v>
      </c>
      <c r="J49" s="379" t="n">
        <v>0</v>
      </c>
      <c r="K49" s="379" t="n">
        <v>0</v>
      </c>
      <c r="L49" s="358" t="n">
        <v>2</v>
      </c>
      <c r="M49" s="379" t="n">
        <v>1</v>
      </c>
      <c r="N49" s="378" t="n">
        <v>1</v>
      </c>
      <c r="O49" s="379" t="n">
        <v>0</v>
      </c>
      <c r="P49" s="379" t="n">
        <v>0</v>
      </c>
      <c r="Q49" s="379" t="n">
        <v>0</v>
      </c>
      <c r="R49" s="379" t="n">
        <v>0</v>
      </c>
      <c r="S49" s="379" t="n">
        <v>0</v>
      </c>
      <c r="T49" s="379" t="n">
        <v>0</v>
      </c>
      <c r="U49" s="379" t="n">
        <v>0</v>
      </c>
      <c r="V49" s="379" t="n">
        <v>0</v>
      </c>
      <c r="X49" s="381"/>
      <c r="Y49" s="380"/>
      <c r="Z49" s="381" t="str">
        <f aca="false">IF(D49=0,"",LN(D49))</f>
        <v/>
      </c>
      <c r="AA49" s="381" t="str">
        <f aca="false">IF(E49=0,"",LN(E49))</f>
        <v/>
      </c>
      <c r="AB49" s="381" t="str">
        <f aca="false">IF(F49=0,"",LN(F49))</f>
        <v/>
      </c>
      <c r="AC49" s="381" t="str">
        <f aca="false">IF(G49=0,"",LN(G49))</f>
        <v/>
      </c>
      <c r="AD49" s="381" t="str">
        <f aca="false">IF(H49=0,"",LN(H49))</f>
        <v/>
      </c>
      <c r="AE49" s="381" t="str">
        <f aca="false">IF(I49=0,"",LN(I49))</f>
        <v/>
      </c>
      <c r="AF49" s="381" t="str">
        <f aca="false">IF(J49=0,"",LN(J49))</f>
        <v/>
      </c>
      <c r="AG49" s="381" t="str">
        <f aca="false">IF(K49=0,"",LN(K49))</f>
        <v/>
      </c>
      <c r="AI49" s="381"/>
      <c r="AJ49" s="380"/>
      <c r="AK49" s="381" t="str">
        <f aca="false">IF(O49=0,"",LN(O49))</f>
        <v/>
      </c>
      <c r="AL49" s="381" t="str">
        <f aca="false">IF(P49=0,"",LN(P49))</f>
        <v/>
      </c>
      <c r="AM49" s="381" t="str">
        <f aca="false">IF(Q49=0,"",LN(Q49))</f>
        <v/>
      </c>
      <c r="AN49" s="381" t="str">
        <f aca="false">IF(R49=0,"",LN(R49))</f>
        <v/>
      </c>
      <c r="AO49" s="381" t="str">
        <f aca="false">IF(S49=0,"",LN(S49))</f>
        <v/>
      </c>
      <c r="AP49" s="381" t="str">
        <f aca="false">IF(T49=0,"",LN(T49))</f>
        <v/>
      </c>
      <c r="AQ49" s="381" t="str">
        <f aca="false">IF(U49=0,"",LN(U49))</f>
        <v/>
      </c>
      <c r="AR49" s="381" t="str">
        <f aca="false">IF(V49=0,"",LN(V49))</f>
        <v/>
      </c>
    </row>
    <row r="50" customFormat="false" ht="12" hidden="false" customHeight="false" outlineLevel="0" collapsed="false">
      <c r="A50" s="358" t="n">
        <v>3</v>
      </c>
      <c r="B50" s="379" t="n">
        <v>0</v>
      </c>
      <c r="C50" s="379" t="n">
        <v>0</v>
      </c>
      <c r="D50" s="378" t="n">
        <v>1</v>
      </c>
      <c r="E50" s="379" t="n">
        <v>0</v>
      </c>
      <c r="F50" s="379" t="n">
        <v>0</v>
      </c>
      <c r="G50" s="379" t="n">
        <v>0</v>
      </c>
      <c r="H50" s="379" t="n">
        <v>0</v>
      </c>
      <c r="I50" s="379" t="n">
        <v>0</v>
      </c>
      <c r="J50" s="379" t="n">
        <v>0</v>
      </c>
      <c r="K50" s="379" t="n">
        <v>0</v>
      </c>
      <c r="L50" s="358" t="n">
        <v>3</v>
      </c>
      <c r="M50" s="379" t="n">
        <v>0</v>
      </c>
      <c r="N50" s="379" t="n">
        <v>0</v>
      </c>
      <c r="O50" s="378" t="n">
        <v>1</v>
      </c>
      <c r="P50" s="379" t="n">
        <v>0</v>
      </c>
      <c r="Q50" s="379" t="n">
        <v>0</v>
      </c>
      <c r="R50" s="379" t="n">
        <v>0</v>
      </c>
      <c r="S50" s="379" t="n">
        <v>0</v>
      </c>
      <c r="T50" s="379" t="n">
        <v>0</v>
      </c>
      <c r="U50" s="379" t="n">
        <v>0</v>
      </c>
      <c r="V50" s="379" t="n">
        <v>0</v>
      </c>
      <c r="X50" s="381"/>
      <c r="Y50" s="381"/>
      <c r="Z50" s="380"/>
      <c r="AA50" s="381" t="str">
        <f aca="false">IF(E50=0,"",LN(E50))</f>
        <v/>
      </c>
      <c r="AB50" s="381" t="str">
        <f aca="false">IF(F50=0,"",LN(F50))</f>
        <v/>
      </c>
      <c r="AC50" s="381" t="str">
        <f aca="false">IF(G50=0,"",LN(G50))</f>
        <v/>
      </c>
      <c r="AD50" s="381" t="str">
        <f aca="false">IF(H50=0,"",LN(H50))</f>
        <v/>
      </c>
      <c r="AE50" s="381" t="str">
        <f aca="false">IF(I50=0,"",LN(I50))</f>
        <v/>
      </c>
      <c r="AF50" s="381" t="str">
        <f aca="false">IF(J50=0,"",LN(J50))</f>
        <v/>
      </c>
      <c r="AG50" s="381" t="str">
        <f aca="false">IF(K50=0,"",LN(K50))</f>
        <v/>
      </c>
      <c r="AI50" s="381"/>
      <c r="AJ50" s="381"/>
      <c r="AK50" s="380"/>
      <c r="AL50" s="381" t="str">
        <f aca="false">IF(P50=0,"",LN(P50))</f>
        <v/>
      </c>
      <c r="AM50" s="381" t="str">
        <f aca="false">IF(Q50=0,"",LN(Q50))</f>
        <v/>
      </c>
      <c r="AN50" s="381" t="str">
        <f aca="false">IF(R50=0,"",LN(R50))</f>
        <v/>
      </c>
      <c r="AO50" s="381" t="str">
        <f aca="false">IF(S50=0,"",LN(S50))</f>
        <v/>
      </c>
      <c r="AP50" s="381" t="str">
        <f aca="false">IF(T50=0,"",LN(T50))</f>
        <v/>
      </c>
      <c r="AQ50" s="381" t="str">
        <f aca="false">IF(U50=0,"",LN(U50))</f>
        <v/>
      </c>
      <c r="AR50" s="381" t="str">
        <f aca="false">IF(V50=0,"",LN(V50))</f>
        <v/>
      </c>
    </row>
    <row r="51" customFormat="false" ht="12" hidden="false" customHeight="false" outlineLevel="0" collapsed="false">
      <c r="A51" s="358" t="n">
        <v>4</v>
      </c>
      <c r="B51" s="379" t="n">
        <v>0</v>
      </c>
      <c r="C51" s="379" t="n">
        <v>0</v>
      </c>
      <c r="D51" s="379" t="n">
        <v>0</v>
      </c>
      <c r="E51" s="378" t="n">
        <v>1</v>
      </c>
      <c r="F51" s="379" t="n">
        <v>0</v>
      </c>
      <c r="G51" s="379" t="n">
        <v>0</v>
      </c>
      <c r="H51" s="379" t="n">
        <v>0</v>
      </c>
      <c r="I51" s="379" t="n">
        <v>0</v>
      </c>
      <c r="J51" s="379" t="n">
        <v>0</v>
      </c>
      <c r="K51" s="379" t="n">
        <v>0</v>
      </c>
      <c r="L51" s="358" t="n">
        <v>4</v>
      </c>
      <c r="M51" s="379" t="n">
        <v>0</v>
      </c>
      <c r="N51" s="379" t="n">
        <v>0</v>
      </c>
      <c r="O51" s="379" t="n">
        <v>0</v>
      </c>
      <c r="P51" s="378" t="n">
        <v>1</v>
      </c>
      <c r="Q51" s="379" t="n">
        <v>0</v>
      </c>
      <c r="R51" s="379" t="n">
        <v>0</v>
      </c>
      <c r="S51" s="379" t="n">
        <v>0</v>
      </c>
      <c r="T51" s="379" t="n">
        <v>0</v>
      </c>
      <c r="U51" s="379" t="n">
        <v>0</v>
      </c>
      <c r="V51" s="379" t="n">
        <v>0</v>
      </c>
      <c r="X51" s="381"/>
      <c r="Y51" s="381"/>
      <c r="Z51" s="381"/>
      <c r="AA51" s="380"/>
      <c r="AB51" s="381" t="str">
        <f aca="false">IF(F51=0,"",LN(F51))</f>
        <v/>
      </c>
      <c r="AC51" s="381" t="str">
        <f aca="false">IF(G51=0,"",LN(G51))</f>
        <v/>
      </c>
      <c r="AD51" s="381" t="str">
        <f aca="false">IF(H51=0,"",LN(H51))</f>
        <v/>
      </c>
      <c r="AE51" s="381" t="str">
        <f aca="false">IF(I51=0,"",LN(I51))</f>
        <v/>
      </c>
      <c r="AF51" s="381" t="str">
        <f aca="false">IF(J51=0,"",LN(J51))</f>
        <v/>
      </c>
      <c r="AG51" s="381" t="str">
        <f aca="false">IF(K51=0,"",LN(K51))</f>
        <v/>
      </c>
      <c r="AI51" s="381"/>
      <c r="AJ51" s="381"/>
      <c r="AK51" s="381"/>
      <c r="AL51" s="380"/>
      <c r="AM51" s="381" t="str">
        <f aca="false">IF(Q51=0,"",LN(Q51))</f>
        <v/>
      </c>
      <c r="AN51" s="381" t="str">
        <f aca="false">IF(R51=0,"",LN(R51))</f>
        <v/>
      </c>
      <c r="AO51" s="381" t="str">
        <f aca="false">IF(S51=0,"",LN(S51))</f>
        <v/>
      </c>
      <c r="AP51" s="381" t="str">
        <f aca="false">IF(T51=0,"",LN(T51))</f>
        <v/>
      </c>
      <c r="AQ51" s="381" t="str">
        <f aca="false">IF(U51=0,"",LN(U51))</f>
        <v/>
      </c>
      <c r="AR51" s="381" t="str">
        <f aca="false">IF(V51=0,"",LN(V51))</f>
        <v/>
      </c>
    </row>
    <row r="52" customFormat="false" ht="12" hidden="false" customHeight="false" outlineLevel="0" collapsed="false">
      <c r="A52" s="358" t="n">
        <v>5</v>
      </c>
      <c r="B52" s="379" t="n">
        <v>0</v>
      </c>
      <c r="C52" s="379" t="n">
        <v>0</v>
      </c>
      <c r="D52" s="379" t="n">
        <v>0</v>
      </c>
      <c r="E52" s="379" t="n">
        <v>0</v>
      </c>
      <c r="F52" s="378" t="n">
        <v>1</v>
      </c>
      <c r="G52" s="379" t="n">
        <v>0</v>
      </c>
      <c r="H52" s="379" t="n">
        <v>0</v>
      </c>
      <c r="I52" s="379" t="n">
        <v>0</v>
      </c>
      <c r="J52" s="379" t="n">
        <v>0</v>
      </c>
      <c r="K52" s="379" t="n">
        <v>0</v>
      </c>
      <c r="L52" s="358" t="n">
        <v>5</v>
      </c>
      <c r="M52" s="379" t="n">
        <v>0</v>
      </c>
      <c r="N52" s="379" t="n">
        <v>0</v>
      </c>
      <c r="O52" s="379" t="n">
        <v>0</v>
      </c>
      <c r="P52" s="379" t="n">
        <v>0</v>
      </c>
      <c r="Q52" s="378" t="n">
        <v>1</v>
      </c>
      <c r="R52" s="379" t="n">
        <v>0</v>
      </c>
      <c r="S52" s="379" t="n">
        <v>0</v>
      </c>
      <c r="T52" s="379" t="n">
        <v>0</v>
      </c>
      <c r="U52" s="379" t="n">
        <v>0</v>
      </c>
      <c r="V52" s="379" t="n">
        <v>0</v>
      </c>
      <c r="X52" s="381"/>
      <c r="Y52" s="381"/>
      <c r="Z52" s="381"/>
      <c r="AA52" s="381"/>
      <c r="AB52" s="380"/>
      <c r="AC52" s="381" t="str">
        <f aca="false">IF(G52=0,"",LN(G52))</f>
        <v/>
      </c>
      <c r="AD52" s="381" t="str">
        <f aca="false">IF(H52=0,"",LN(H52))</f>
        <v/>
      </c>
      <c r="AE52" s="381" t="str">
        <f aca="false">IF(I52=0,"",LN(I52))</f>
        <v/>
      </c>
      <c r="AF52" s="381" t="str">
        <f aca="false">IF(J52=0,"",LN(J52))</f>
        <v/>
      </c>
      <c r="AG52" s="381" t="str">
        <f aca="false">IF(K52=0,"",LN(K52))</f>
        <v/>
      </c>
      <c r="AI52" s="381"/>
      <c r="AJ52" s="381"/>
      <c r="AK52" s="381"/>
      <c r="AL52" s="381"/>
      <c r="AM52" s="380"/>
      <c r="AN52" s="381" t="str">
        <f aca="false">IF(R52=0,"",LN(R52))</f>
        <v/>
      </c>
      <c r="AO52" s="381" t="str">
        <f aca="false">IF(S52=0,"",LN(S52))</f>
        <v/>
      </c>
      <c r="AP52" s="381" t="str">
        <f aca="false">IF(T52=0,"",LN(T52))</f>
        <v/>
      </c>
      <c r="AQ52" s="381" t="str">
        <f aca="false">IF(U52=0,"",LN(U52))</f>
        <v/>
      </c>
      <c r="AR52" s="381" t="str">
        <f aca="false">IF(V52=0,"",LN(V52))</f>
        <v/>
      </c>
    </row>
    <row r="53" customFormat="false" ht="12" hidden="false" customHeight="false" outlineLevel="0" collapsed="false">
      <c r="A53" s="358" t="n">
        <v>6</v>
      </c>
      <c r="B53" s="379" t="n">
        <v>0</v>
      </c>
      <c r="C53" s="379" t="n">
        <v>0</v>
      </c>
      <c r="D53" s="379" t="n">
        <v>0</v>
      </c>
      <c r="E53" s="379" t="n">
        <v>0</v>
      </c>
      <c r="F53" s="379" t="n">
        <v>0</v>
      </c>
      <c r="G53" s="378" t="n">
        <v>1</v>
      </c>
      <c r="H53" s="379" t="n">
        <v>0</v>
      </c>
      <c r="I53" s="379" t="n">
        <v>0</v>
      </c>
      <c r="J53" s="379" t="n">
        <v>0</v>
      </c>
      <c r="K53" s="379" t="n">
        <v>0</v>
      </c>
      <c r="L53" s="358" t="n">
        <v>6</v>
      </c>
      <c r="M53" s="379" t="n">
        <v>0</v>
      </c>
      <c r="N53" s="379" t="n">
        <v>0</v>
      </c>
      <c r="O53" s="379" t="n">
        <v>0</v>
      </c>
      <c r="P53" s="379" t="n">
        <v>0</v>
      </c>
      <c r="Q53" s="379" t="n">
        <v>0</v>
      </c>
      <c r="R53" s="378" t="n">
        <v>1</v>
      </c>
      <c r="S53" s="379" t="n">
        <v>0</v>
      </c>
      <c r="T53" s="379" t="n">
        <v>0</v>
      </c>
      <c r="U53" s="379" t="n">
        <v>0</v>
      </c>
      <c r="V53" s="379" t="n">
        <v>0</v>
      </c>
      <c r="X53" s="381"/>
      <c r="Y53" s="381"/>
      <c r="Z53" s="381"/>
      <c r="AA53" s="381"/>
      <c r="AB53" s="381"/>
      <c r="AC53" s="380"/>
      <c r="AD53" s="381" t="str">
        <f aca="false">IF(H53=0,"",LN(H53))</f>
        <v/>
      </c>
      <c r="AE53" s="381" t="str">
        <f aca="false">IF(I53=0,"",LN(I53))</f>
        <v/>
      </c>
      <c r="AF53" s="381" t="str">
        <f aca="false">IF(J53=0,"",LN(J53))</f>
        <v/>
      </c>
      <c r="AG53" s="381" t="str">
        <f aca="false">IF(K53=0,"",LN(K53))</f>
        <v/>
      </c>
      <c r="AI53" s="381"/>
      <c r="AJ53" s="381"/>
      <c r="AK53" s="381"/>
      <c r="AL53" s="381"/>
      <c r="AM53" s="381"/>
      <c r="AN53" s="380"/>
      <c r="AO53" s="381" t="str">
        <f aca="false">IF(S53=0,"",LN(S53))</f>
        <v/>
      </c>
      <c r="AP53" s="381" t="str">
        <f aca="false">IF(T53=0,"",LN(T53))</f>
        <v/>
      </c>
      <c r="AQ53" s="381" t="str">
        <f aca="false">IF(U53=0,"",LN(U53))</f>
        <v/>
      </c>
      <c r="AR53" s="381" t="str">
        <f aca="false">IF(V53=0,"",LN(V53))</f>
        <v/>
      </c>
    </row>
    <row r="54" customFormat="false" ht="12" hidden="false" customHeight="false" outlineLevel="0" collapsed="false">
      <c r="A54" s="358" t="n">
        <v>7</v>
      </c>
      <c r="B54" s="379" t="n">
        <v>0</v>
      </c>
      <c r="C54" s="379" t="n">
        <v>0</v>
      </c>
      <c r="D54" s="379" t="n">
        <v>0</v>
      </c>
      <c r="E54" s="379" t="n">
        <v>0</v>
      </c>
      <c r="F54" s="379" t="n">
        <v>0</v>
      </c>
      <c r="G54" s="379" t="n">
        <v>0</v>
      </c>
      <c r="H54" s="378" t="n">
        <v>1</v>
      </c>
      <c r="I54" s="379" t="n">
        <v>0</v>
      </c>
      <c r="J54" s="379" t="n">
        <v>0</v>
      </c>
      <c r="K54" s="379" t="n">
        <v>0</v>
      </c>
      <c r="L54" s="358" t="n">
        <v>7</v>
      </c>
      <c r="M54" s="379" t="n">
        <v>0</v>
      </c>
      <c r="N54" s="379" t="n">
        <v>0</v>
      </c>
      <c r="O54" s="379" t="n">
        <v>0</v>
      </c>
      <c r="P54" s="379" t="n">
        <v>0</v>
      </c>
      <c r="Q54" s="379" t="n">
        <v>0</v>
      </c>
      <c r="R54" s="379" t="n">
        <v>0</v>
      </c>
      <c r="S54" s="378" t="n">
        <v>1</v>
      </c>
      <c r="T54" s="379" t="n">
        <v>0</v>
      </c>
      <c r="U54" s="379" t="n">
        <v>0</v>
      </c>
      <c r="V54" s="379" t="n">
        <v>0</v>
      </c>
      <c r="X54" s="381"/>
      <c r="Y54" s="381"/>
      <c r="Z54" s="381"/>
      <c r="AA54" s="381"/>
      <c r="AB54" s="381"/>
      <c r="AC54" s="381"/>
      <c r="AD54" s="380"/>
      <c r="AE54" s="381" t="str">
        <f aca="false">IF(I54=0,"",LN(I54))</f>
        <v/>
      </c>
      <c r="AF54" s="381" t="str">
        <f aca="false">IF(J54=0,"",LN(J54))</f>
        <v/>
      </c>
      <c r="AG54" s="381" t="str">
        <f aca="false">IF(K54=0,"",LN(K54))</f>
        <v/>
      </c>
      <c r="AI54" s="381"/>
      <c r="AJ54" s="381"/>
      <c r="AK54" s="381"/>
      <c r="AL54" s="381"/>
      <c r="AM54" s="381"/>
      <c r="AN54" s="381"/>
      <c r="AO54" s="380"/>
      <c r="AP54" s="381" t="str">
        <f aca="false">IF(T54=0,"",LN(T54))</f>
        <v/>
      </c>
      <c r="AQ54" s="381" t="str">
        <f aca="false">IF(U54=0,"",LN(U54))</f>
        <v/>
      </c>
      <c r="AR54" s="381" t="str">
        <f aca="false">IF(V54=0,"",LN(V54))</f>
        <v/>
      </c>
    </row>
    <row r="55" customFormat="false" ht="12" hidden="false" customHeight="false" outlineLevel="0" collapsed="false">
      <c r="A55" s="358" t="n">
        <v>8</v>
      </c>
      <c r="B55" s="379" t="n">
        <v>0</v>
      </c>
      <c r="C55" s="379" t="n">
        <v>0</v>
      </c>
      <c r="D55" s="379" t="n">
        <v>0</v>
      </c>
      <c r="E55" s="379" t="n">
        <v>0</v>
      </c>
      <c r="F55" s="379" t="n">
        <v>0</v>
      </c>
      <c r="G55" s="379" t="n">
        <v>0</v>
      </c>
      <c r="H55" s="379" t="n">
        <v>0</v>
      </c>
      <c r="I55" s="378" t="n">
        <v>1</v>
      </c>
      <c r="J55" s="379" t="n">
        <v>0</v>
      </c>
      <c r="K55" s="379" t="n">
        <v>0</v>
      </c>
      <c r="L55" s="358" t="n">
        <v>8</v>
      </c>
      <c r="M55" s="379" t="n">
        <v>0</v>
      </c>
      <c r="N55" s="379" t="n">
        <v>0</v>
      </c>
      <c r="O55" s="379" t="n">
        <v>0</v>
      </c>
      <c r="P55" s="379" t="n">
        <v>0</v>
      </c>
      <c r="Q55" s="379" t="n">
        <v>0</v>
      </c>
      <c r="R55" s="379" t="n">
        <v>0</v>
      </c>
      <c r="S55" s="379" t="n">
        <v>0</v>
      </c>
      <c r="T55" s="378" t="n">
        <v>1</v>
      </c>
      <c r="U55" s="379" t="n">
        <v>0</v>
      </c>
      <c r="V55" s="379" t="n">
        <v>0</v>
      </c>
      <c r="X55" s="381"/>
      <c r="Y55" s="381"/>
      <c r="Z55" s="381"/>
      <c r="AA55" s="381"/>
      <c r="AB55" s="381"/>
      <c r="AC55" s="381"/>
      <c r="AD55" s="381"/>
      <c r="AE55" s="380"/>
      <c r="AF55" s="381" t="str">
        <f aca="false">IF(J55=0,"",LN(J55))</f>
        <v/>
      </c>
      <c r="AG55" s="381" t="str">
        <f aca="false">IF(K55=0,"",LN(K55))</f>
        <v/>
      </c>
      <c r="AI55" s="381"/>
      <c r="AJ55" s="381"/>
      <c r="AK55" s="381"/>
      <c r="AL55" s="381"/>
      <c r="AM55" s="381"/>
      <c r="AN55" s="381"/>
      <c r="AO55" s="381"/>
      <c r="AP55" s="380"/>
      <c r="AQ55" s="381" t="str">
        <f aca="false">IF(U55=0,"",LN(U55))</f>
        <v/>
      </c>
      <c r="AR55" s="381" t="str">
        <f aca="false">IF(V55=0,"",LN(V55))</f>
        <v/>
      </c>
    </row>
    <row r="56" customFormat="false" ht="12" hidden="false" customHeight="false" outlineLevel="0" collapsed="false">
      <c r="A56" s="358" t="n">
        <v>9</v>
      </c>
      <c r="B56" s="379" t="n">
        <v>0</v>
      </c>
      <c r="C56" s="379" t="n">
        <v>0</v>
      </c>
      <c r="D56" s="379" t="n">
        <v>0</v>
      </c>
      <c r="E56" s="379" t="n">
        <v>0</v>
      </c>
      <c r="F56" s="379" t="n">
        <v>0</v>
      </c>
      <c r="G56" s="379" t="n">
        <v>0</v>
      </c>
      <c r="H56" s="379" t="n">
        <v>0</v>
      </c>
      <c r="I56" s="379" t="n">
        <v>0</v>
      </c>
      <c r="J56" s="378" t="n">
        <v>1</v>
      </c>
      <c r="K56" s="379" t="n">
        <v>0</v>
      </c>
      <c r="L56" s="358" t="n">
        <v>9</v>
      </c>
      <c r="M56" s="379" t="n">
        <v>0</v>
      </c>
      <c r="N56" s="379" t="n">
        <v>0</v>
      </c>
      <c r="O56" s="379" t="n">
        <v>0</v>
      </c>
      <c r="P56" s="379" t="n">
        <v>0</v>
      </c>
      <c r="Q56" s="379" t="n">
        <v>0</v>
      </c>
      <c r="R56" s="379" t="n">
        <v>0</v>
      </c>
      <c r="S56" s="379" t="n">
        <v>0</v>
      </c>
      <c r="T56" s="379" t="n">
        <v>0</v>
      </c>
      <c r="U56" s="378" t="n">
        <v>1</v>
      </c>
      <c r="V56" s="379" t="n">
        <v>0</v>
      </c>
      <c r="X56" s="381"/>
      <c r="Y56" s="381"/>
      <c r="Z56" s="381"/>
      <c r="AA56" s="381"/>
      <c r="AB56" s="381"/>
      <c r="AC56" s="381"/>
      <c r="AD56" s="381"/>
      <c r="AE56" s="381"/>
      <c r="AF56" s="380"/>
      <c r="AG56" s="381" t="str">
        <f aca="false">IF(K56=0,"",LN(K56))</f>
        <v/>
      </c>
      <c r="AI56" s="381"/>
      <c r="AJ56" s="381"/>
      <c r="AK56" s="381"/>
      <c r="AL56" s="381"/>
      <c r="AM56" s="381"/>
      <c r="AN56" s="381"/>
      <c r="AO56" s="381"/>
      <c r="AP56" s="381"/>
      <c r="AQ56" s="380"/>
      <c r="AR56" s="381" t="str">
        <f aca="false">IF(V56=0,"",LN(V56))</f>
        <v/>
      </c>
    </row>
    <row r="57" customFormat="false" ht="12" hidden="false" customHeight="false" outlineLevel="0" collapsed="false">
      <c r="A57" s="358" t="n">
        <v>10</v>
      </c>
      <c r="B57" s="379" t="n">
        <v>0</v>
      </c>
      <c r="C57" s="379" t="n">
        <v>0</v>
      </c>
      <c r="D57" s="379" t="n">
        <v>0</v>
      </c>
      <c r="E57" s="379" t="n">
        <v>0</v>
      </c>
      <c r="F57" s="379" t="n">
        <v>0</v>
      </c>
      <c r="G57" s="379" t="n">
        <v>0</v>
      </c>
      <c r="H57" s="379" t="n">
        <v>0</v>
      </c>
      <c r="I57" s="379" t="n">
        <v>0</v>
      </c>
      <c r="J57" s="379" t="n">
        <v>0</v>
      </c>
      <c r="K57" s="378" t="n">
        <v>1</v>
      </c>
      <c r="L57" s="358" t="n">
        <v>10</v>
      </c>
      <c r="M57" s="379" t="n">
        <v>0</v>
      </c>
      <c r="N57" s="379" t="n">
        <v>0</v>
      </c>
      <c r="O57" s="379" t="n">
        <v>0</v>
      </c>
      <c r="P57" s="379" t="n">
        <v>0</v>
      </c>
      <c r="Q57" s="379" t="n">
        <v>0</v>
      </c>
      <c r="R57" s="379" t="n">
        <v>0</v>
      </c>
      <c r="S57" s="379" t="n">
        <v>0</v>
      </c>
      <c r="T57" s="379" t="n">
        <v>0</v>
      </c>
      <c r="U57" s="379" t="n">
        <v>0</v>
      </c>
      <c r="V57" s="378" t="n">
        <v>1</v>
      </c>
      <c r="X57" s="381"/>
      <c r="Y57" s="381"/>
      <c r="Z57" s="381"/>
      <c r="AA57" s="381"/>
      <c r="AB57" s="381"/>
      <c r="AC57" s="381"/>
      <c r="AD57" s="381"/>
      <c r="AE57" s="381"/>
      <c r="AF57" s="381"/>
      <c r="AG57" s="380"/>
      <c r="AI57" s="381"/>
      <c r="AJ57" s="381"/>
      <c r="AK57" s="381"/>
      <c r="AL57" s="381"/>
      <c r="AM57" s="381"/>
      <c r="AN57" s="381"/>
      <c r="AO57" s="381"/>
      <c r="AP57" s="381"/>
      <c r="AQ57" s="381"/>
      <c r="AR57" s="380"/>
    </row>
    <row r="59" customFormat="false" ht="12.75" hidden="false" customHeight="false" outlineLevel="0" collapsed="false">
      <c r="A59" s="369" t="n">
        <v>8</v>
      </c>
      <c r="B59" s="370" t="str">
        <f aca="true">INDIRECT(ADDRESS(17,2,1,1,"in"&amp;TEXT(A59,"@")))</f>
        <v>Participant 8</v>
      </c>
      <c r="C59" s="370"/>
      <c r="D59" s="370"/>
      <c r="E59" s="370"/>
      <c r="F59" s="370"/>
      <c r="G59" s="370"/>
      <c r="H59" s="371" t="n">
        <f aca="true">INDIRECT(ADDRESS(17,6,1,1,"in"&amp;TEXT(A59,"@")))</f>
        <v>1</v>
      </c>
      <c r="I59" s="372"/>
      <c r="J59" s="373" t="n">
        <f aca="true">INDIRECT(ADDRESS(17,7,1,1,"in"&amp;TEXT(A59,"@")))</f>
        <v>0</v>
      </c>
      <c r="K59" s="373"/>
      <c r="L59" s="369" t="n">
        <v>9</v>
      </c>
      <c r="M59" s="370" t="str">
        <f aca="true">INDIRECT(ADDRESS(17,2,1,1,"in"&amp;TEXT(L59,"@")))</f>
        <v>Participant 9</v>
      </c>
      <c r="N59" s="370"/>
      <c r="O59" s="370"/>
      <c r="P59" s="370"/>
      <c r="Q59" s="370"/>
      <c r="R59" s="370"/>
      <c r="S59" s="371" t="n">
        <f aca="true">INDIRECT(ADDRESS(17,6,1,1,"in"&amp;TEXT(L59,"@")))</f>
        <v>1</v>
      </c>
      <c r="T59" s="372"/>
      <c r="U59" s="373" t="n">
        <f aca="true">INDIRECT(ADDRESS(17,7,1,1,"in"&amp;TEXT(L59,"@")))</f>
        <v>0</v>
      </c>
      <c r="V59" s="373"/>
      <c r="X59" s="383"/>
      <c r="Y59" s="383"/>
      <c r="Z59" s="383"/>
      <c r="AA59" s="383"/>
      <c r="AB59" s="383"/>
      <c r="AC59" s="383"/>
      <c r="AD59" s="375" t="n">
        <f aca="false">IF(A59&gt;$N$4,0,IF(H59=0,1,H59))</f>
        <v>0</v>
      </c>
      <c r="AE59" s="384"/>
      <c r="AF59" s="383"/>
      <c r="AG59" s="383"/>
      <c r="AH59" s="369"/>
      <c r="AI59" s="370"/>
      <c r="AJ59" s="370"/>
      <c r="AK59" s="370"/>
      <c r="AL59" s="370"/>
      <c r="AM59" s="370"/>
      <c r="AN59" s="370"/>
      <c r="AO59" s="375" t="n">
        <f aca="false">IF(L59&gt;$N$4,0,IF(S59=0,1,S59))</f>
        <v>0</v>
      </c>
      <c r="AP59" s="375"/>
      <c r="AQ59" s="373"/>
      <c r="AR59" s="373"/>
    </row>
    <row r="60" customFormat="false" ht="12" hidden="false" customHeight="false" outlineLevel="0" collapsed="false">
      <c r="B60" s="376" t="n">
        <v>1</v>
      </c>
      <c r="C60" s="376" t="n">
        <v>2</v>
      </c>
      <c r="D60" s="376" t="n">
        <v>3</v>
      </c>
      <c r="E60" s="376" t="n">
        <v>4</v>
      </c>
      <c r="F60" s="376" t="n">
        <v>5</v>
      </c>
      <c r="G60" s="376" t="n">
        <v>6</v>
      </c>
      <c r="H60" s="376" t="n">
        <v>7</v>
      </c>
      <c r="I60" s="376" t="n">
        <v>8</v>
      </c>
      <c r="J60" s="358" t="n">
        <v>9</v>
      </c>
      <c r="K60" s="358" t="n">
        <v>10</v>
      </c>
      <c r="M60" s="376" t="n">
        <v>1</v>
      </c>
      <c r="N60" s="376" t="n">
        <v>2</v>
      </c>
      <c r="O60" s="376" t="n">
        <v>3</v>
      </c>
      <c r="P60" s="376" t="n">
        <v>4</v>
      </c>
      <c r="Q60" s="376" t="n">
        <v>5</v>
      </c>
      <c r="R60" s="376" t="n">
        <v>6</v>
      </c>
      <c r="S60" s="376" t="n">
        <v>7</v>
      </c>
      <c r="T60" s="376" t="n">
        <v>8</v>
      </c>
      <c r="U60" s="358" t="n">
        <v>9</v>
      </c>
      <c r="V60" s="358" t="n">
        <v>10</v>
      </c>
      <c r="X60" s="376"/>
      <c r="Y60" s="376"/>
      <c r="Z60" s="376"/>
      <c r="AA60" s="376"/>
      <c r="AB60" s="376"/>
      <c r="AC60" s="376"/>
      <c r="AD60" s="376"/>
      <c r="AE60" s="376"/>
      <c r="AI60" s="376"/>
      <c r="AJ60" s="376"/>
      <c r="AK60" s="376"/>
      <c r="AL60" s="376"/>
      <c r="AM60" s="376"/>
      <c r="AN60" s="376"/>
      <c r="AO60" s="376"/>
      <c r="AP60" s="376"/>
    </row>
    <row r="61" customFormat="false" ht="12" hidden="false" customHeight="false" outlineLevel="0" collapsed="false">
      <c r="A61" s="358" t="n">
        <v>1</v>
      </c>
      <c r="B61" s="378" t="n">
        <f aca="false" t="array" ref="B61:K70">Matrix8</f>
        <v>1</v>
      </c>
      <c r="C61" s="379" t="n">
        <v>1</v>
      </c>
      <c r="D61" s="379" t="n">
        <v>0</v>
      </c>
      <c r="E61" s="379" t="n">
        <v>0</v>
      </c>
      <c r="F61" s="379" t="n">
        <v>0</v>
      </c>
      <c r="G61" s="379" t="n">
        <v>0</v>
      </c>
      <c r="H61" s="379" t="n">
        <v>0</v>
      </c>
      <c r="I61" s="379" t="n">
        <v>0</v>
      </c>
      <c r="J61" s="379" t="n">
        <v>0</v>
      </c>
      <c r="K61" s="379" t="n">
        <v>0</v>
      </c>
      <c r="L61" s="358" t="n">
        <v>1</v>
      </c>
      <c r="M61" s="378" t="n">
        <f aca="false" t="array" ref="M61:V70">Matrix9</f>
        <v>1</v>
      </c>
      <c r="N61" s="379" t="n">
        <v>1</v>
      </c>
      <c r="O61" s="379" t="n">
        <v>0</v>
      </c>
      <c r="P61" s="379" t="n">
        <v>0</v>
      </c>
      <c r="Q61" s="379" t="n">
        <v>0</v>
      </c>
      <c r="R61" s="379" t="n">
        <v>0</v>
      </c>
      <c r="S61" s="379" t="n">
        <v>0</v>
      </c>
      <c r="T61" s="379" t="n">
        <v>0</v>
      </c>
      <c r="U61" s="379" t="n">
        <v>0</v>
      </c>
      <c r="V61" s="379" t="n">
        <v>0</v>
      </c>
      <c r="X61" s="380"/>
      <c r="Y61" s="381" t="n">
        <f aca="false">IF(C61=0,"",LN(C61))</f>
        <v>0</v>
      </c>
      <c r="Z61" s="381" t="str">
        <f aca="false">IF(D61=0,"",LN(D61))</f>
        <v/>
      </c>
      <c r="AA61" s="381" t="str">
        <f aca="false">IF(E61=0,"",LN(E61))</f>
        <v/>
      </c>
      <c r="AB61" s="381" t="str">
        <f aca="false">IF(F61=0,"",LN(F61))</f>
        <v/>
      </c>
      <c r="AC61" s="381" t="str">
        <f aca="false">IF(G61=0,"",LN(G61))</f>
        <v/>
      </c>
      <c r="AD61" s="381" t="str">
        <f aca="false">IF(H61=0,"",LN(H61))</f>
        <v/>
      </c>
      <c r="AE61" s="381" t="str">
        <f aca="false">IF(I61=0,"",LN(I61))</f>
        <v/>
      </c>
      <c r="AF61" s="381" t="str">
        <f aca="false">IF(J61=0,"",LN(J61))</f>
        <v/>
      </c>
      <c r="AG61" s="381" t="str">
        <f aca="false">IF(K61=0,"",LN(K61))</f>
        <v/>
      </c>
      <c r="AI61" s="380"/>
      <c r="AJ61" s="381" t="n">
        <f aca="false">IF(N61=0,"",LN(N61))</f>
        <v>0</v>
      </c>
      <c r="AK61" s="381" t="str">
        <f aca="false">IF(O61=0,"",LN(O61))</f>
        <v/>
      </c>
      <c r="AL61" s="381" t="str">
        <f aca="false">IF(P61=0,"",LN(P61))</f>
        <v/>
      </c>
      <c r="AM61" s="381" t="str">
        <f aca="false">IF(Q61=0,"",LN(Q61))</f>
        <v/>
      </c>
      <c r="AN61" s="381" t="str">
        <f aca="false">IF(R61=0,"",LN(R61))</f>
        <v/>
      </c>
      <c r="AO61" s="381" t="str">
        <f aca="false">IF(S61=0,"",LN(S61))</f>
        <v/>
      </c>
      <c r="AP61" s="381" t="str">
        <f aca="false">IF(T61=0,"",LN(T61))</f>
        <v/>
      </c>
      <c r="AQ61" s="381" t="str">
        <f aca="false">IF(U61=0,"",LN(U61))</f>
        <v/>
      </c>
      <c r="AR61" s="381" t="str">
        <f aca="false">IF(V61=0,"",LN(V61))</f>
        <v/>
      </c>
    </row>
    <row r="62" customFormat="false" ht="12" hidden="false" customHeight="false" outlineLevel="0" collapsed="false">
      <c r="A62" s="358" t="n">
        <v>2</v>
      </c>
      <c r="B62" s="379" t="n">
        <v>1</v>
      </c>
      <c r="C62" s="378" t="n">
        <v>1</v>
      </c>
      <c r="D62" s="379" t="n">
        <v>0</v>
      </c>
      <c r="E62" s="379" t="n">
        <v>0</v>
      </c>
      <c r="F62" s="379" t="n">
        <v>0</v>
      </c>
      <c r="G62" s="379" t="n">
        <v>0</v>
      </c>
      <c r="H62" s="379" t="n">
        <v>0</v>
      </c>
      <c r="I62" s="379" t="n">
        <v>0</v>
      </c>
      <c r="J62" s="379" t="n">
        <v>0</v>
      </c>
      <c r="K62" s="379" t="n">
        <v>0</v>
      </c>
      <c r="L62" s="358" t="n">
        <v>2</v>
      </c>
      <c r="M62" s="379" t="n">
        <v>1</v>
      </c>
      <c r="N62" s="378" t="n">
        <v>1</v>
      </c>
      <c r="O62" s="379" t="n">
        <v>0</v>
      </c>
      <c r="P62" s="379" t="n">
        <v>0</v>
      </c>
      <c r="Q62" s="379" t="n">
        <v>0</v>
      </c>
      <c r="R62" s="379" t="n">
        <v>0</v>
      </c>
      <c r="S62" s="379" t="n">
        <v>0</v>
      </c>
      <c r="T62" s="379" t="n">
        <v>0</v>
      </c>
      <c r="U62" s="379" t="n">
        <v>0</v>
      </c>
      <c r="V62" s="379" t="n">
        <v>0</v>
      </c>
      <c r="X62" s="381"/>
      <c r="Y62" s="380"/>
      <c r="Z62" s="381" t="str">
        <f aca="false">IF(D62=0,"",LN(D62))</f>
        <v/>
      </c>
      <c r="AA62" s="381" t="str">
        <f aca="false">IF(E62=0,"",LN(E62))</f>
        <v/>
      </c>
      <c r="AB62" s="381" t="str">
        <f aca="false">IF(F62=0,"",LN(F62))</f>
        <v/>
      </c>
      <c r="AC62" s="381" t="str">
        <f aca="false">IF(G62=0,"",LN(G62))</f>
        <v/>
      </c>
      <c r="AD62" s="381" t="str">
        <f aca="false">IF(H62=0,"",LN(H62))</f>
        <v/>
      </c>
      <c r="AE62" s="381" t="str">
        <f aca="false">IF(I62=0,"",LN(I62))</f>
        <v/>
      </c>
      <c r="AF62" s="381" t="str">
        <f aca="false">IF(J62=0,"",LN(J62))</f>
        <v/>
      </c>
      <c r="AG62" s="381" t="str">
        <f aca="false">IF(K62=0,"",LN(K62))</f>
        <v/>
      </c>
      <c r="AI62" s="381"/>
      <c r="AJ62" s="380"/>
      <c r="AK62" s="381" t="str">
        <f aca="false">IF(O62=0,"",LN(O62))</f>
        <v/>
      </c>
      <c r="AL62" s="381" t="str">
        <f aca="false">IF(P62=0,"",LN(P62))</f>
        <v/>
      </c>
      <c r="AM62" s="381" t="str">
        <f aca="false">IF(Q62=0,"",LN(Q62))</f>
        <v/>
      </c>
      <c r="AN62" s="381" t="str">
        <f aca="false">IF(R62=0,"",LN(R62))</f>
        <v/>
      </c>
      <c r="AO62" s="381" t="str">
        <f aca="false">IF(S62=0,"",LN(S62))</f>
        <v/>
      </c>
      <c r="AP62" s="381" t="str">
        <f aca="false">IF(T62=0,"",LN(T62))</f>
        <v/>
      </c>
      <c r="AQ62" s="381" t="str">
        <f aca="false">IF(U62=0,"",LN(U62))</f>
        <v/>
      </c>
      <c r="AR62" s="381" t="str">
        <f aca="false">IF(V62=0,"",LN(V62))</f>
        <v/>
      </c>
    </row>
    <row r="63" customFormat="false" ht="12" hidden="false" customHeight="false" outlineLevel="0" collapsed="false">
      <c r="A63" s="358" t="n">
        <v>3</v>
      </c>
      <c r="B63" s="379" t="n">
        <v>0</v>
      </c>
      <c r="C63" s="379" t="n">
        <v>0</v>
      </c>
      <c r="D63" s="378" t="n">
        <v>1</v>
      </c>
      <c r="E63" s="379" t="n">
        <v>0</v>
      </c>
      <c r="F63" s="379" t="n">
        <v>0</v>
      </c>
      <c r="G63" s="379" t="n">
        <v>0</v>
      </c>
      <c r="H63" s="379" t="n">
        <v>0</v>
      </c>
      <c r="I63" s="379" t="n">
        <v>0</v>
      </c>
      <c r="J63" s="379" t="n">
        <v>0</v>
      </c>
      <c r="K63" s="379" t="n">
        <v>0</v>
      </c>
      <c r="L63" s="358" t="n">
        <v>3</v>
      </c>
      <c r="M63" s="379" t="n">
        <v>0</v>
      </c>
      <c r="N63" s="379" t="n">
        <v>0</v>
      </c>
      <c r="O63" s="378" t="n">
        <v>1</v>
      </c>
      <c r="P63" s="379" t="n">
        <v>0</v>
      </c>
      <c r="Q63" s="379" t="n">
        <v>0</v>
      </c>
      <c r="R63" s="379" t="n">
        <v>0</v>
      </c>
      <c r="S63" s="379" t="n">
        <v>0</v>
      </c>
      <c r="T63" s="379" t="n">
        <v>0</v>
      </c>
      <c r="U63" s="379" t="n">
        <v>0</v>
      </c>
      <c r="V63" s="379" t="n">
        <v>0</v>
      </c>
      <c r="X63" s="381"/>
      <c r="Y63" s="381"/>
      <c r="Z63" s="380"/>
      <c r="AA63" s="381" t="str">
        <f aca="false">IF(E63=0,"",LN(E63))</f>
        <v/>
      </c>
      <c r="AB63" s="381" t="str">
        <f aca="false">IF(F63=0,"",LN(F63))</f>
        <v/>
      </c>
      <c r="AC63" s="381" t="str">
        <f aca="false">IF(G63=0,"",LN(G63))</f>
        <v/>
      </c>
      <c r="AD63" s="381" t="str">
        <f aca="false">IF(H63=0,"",LN(H63))</f>
        <v/>
      </c>
      <c r="AE63" s="381" t="str">
        <f aca="false">IF(I63=0,"",LN(I63))</f>
        <v/>
      </c>
      <c r="AF63" s="381" t="str">
        <f aca="false">IF(J63=0,"",LN(J63))</f>
        <v/>
      </c>
      <c r="AG63" s="381" t="str">
        <f aca="false">IF(K63=0,"",LN(K63))</f>
        <v/>
      </c>
      <c r="AI63" s="381"/>
      <c r="AJ63" s="381"/>
      <c r="AK63" s="380"/>
      <c r="AL63" s="381" t="str">
        <f aca="false">IF(P63=0,"",LN(P63))</f>
        <v/>
      </c>
      <c r="AM63" s="381" t="str">
        <f aca="false">IF(Q63=0,"",LN(Q63))</f>
        <v/>
      </c>
      <c r="AN63" s="381" t="str">
        <f aca="false">IF(R63=0,"",LN(R63))</f>
        <v/>
      </c>
      <c r="AO63" s="381" t="str">
        <f aca="false">IF(S63=0,"",LN(S63))</f>
        <v/>
      </c>
      <c r="AP63" s="381" t="str">
        <f aca="false">IF(T63=0,"",LN(T63))</f>
        <v/>
      </c>
      <c r="AQ63" s="381" t="str">
        <f aca="false">IF(U63=0,"",LN(U63))</f>
        <v/>
      </c>
      <c r="AR63" s="381" t="str">
        <f aca="false">IF(V63=0,"",LN(V63))</f>
        <v/>
      </c>
    </row>
    <row r="64" customFormat="false" ht="12" hidden="false" customHeight="false" outlineLevel="0" collapsed="false">
      <c r="A64" s="358" t="n">
        <v>4</v>
      </c>
      <c r="B64" s="379" t="n">
        <v>0</v>
      </c>
      <c r="C64" s="379" t="n">
        <v>0</v>
      </c>
      <c r="D64" s="379" t="n">
        <v>0</v>
      </c>
      <c r="E64" s="378" t="n">
        <v>1</v>
      </c>
      <c r="F64" s="379" t="n">
        <v>0</v>
      </c>
      <c r="G64" s="379" t="n">
        <v>0</v>
      </c>
      <c r="H64" s="379" t="n">
        <v>0</v>
      </c>
      <c r="I64" s="379" t="n">
        <v>0</v>
      </c>
      <c r="J64" s="379" t="n">
        <v>0</v>
      </c>
      <c r="K64" s="379" t="n">
        <v>0</v>
      </c>
      <c r="L64" s="358" t="n">
        <v>4</v>
      </c>
      <c r="M64" s="379" t="n">
        <v>0</v>
      </c>
      <c r="N64" s="379" t="n">
        <v>0</v>
      </c>
      <c r="O64" s="379" t="n">
        <v>0</v>
      </c>
      <c r="P64" s="378" t="n">
        <v>1</v>
      </c>
      <c r="Q64" s="379" t="n">
        <v>0</v>
      </c>
      <c r="R64" s="379" t="n">
        <v>0</v>
      </c>
      <c r="S64" s="379" t="n">
        <v>0</v>
      </c>
      <c r="T64" s="379" t="n">
        <v>0</v>
      </c>
      <c r="U64" s="379" t="n">
        <v>0</v>
      </c>
      <c r="V64" s="379" t="n">
        <v>0</v>
      </c>
      <c r="X64" s="381"/>
      <c r="Y64" s="381"/>
      <c r="Z64" s="381"/>
      <c r="AA64" s="380"/>
      <c r="AB64" s="381" t="str">
        <f aca="false">IF(F64=0,"",LN(F64))</f>
        <v/>
      </c>
      <c r="AC64" s="381" t="str">
        <f aca="false">IF(G64=0,"",LN(G64))</f>
        <v/>
      </c>
      <c r="AD64" s="381" t="str">
        <f aca="false">IF(H64=0,"",LN(H64))</f>
        <v/>
      </c>
      <c r="AE64" s="381" t="str">
        <f aca="false">IF(I64=0,"",LN(I64))</f>
        <v/>
      </c>
      <c r="AF64" s="381" t="str">
        <f aca="false">IF(J64=0,"",LN(J64))</f>
        <v/>
      </c>
      <c r="AG64" s="381" t="str">
        <f aca="false">IF(K64=0,"",LN(K64))</f>
        <v/>
      </c>
      <c r="AI64" s="381"/>
      <c r="AJ64" s="381"/>
      <c r="AK64" s="381"/>
      <c r="AL64" s="380"/>
      <c r="AM64" s="381" t="str">
        <f aca="false">IF(Q64=0,"",LN(Q64))</f>
        <v/>
      </c>
      <c r="AN64" s="381" t="str">
        <f aca="false">IF(R64=0,"",LN(R64))</f>
        <v/>
      </c>
      <c r="AO64" s="381" t="str">
        <f aca="false">IF(S64=0,"",LN(S64))</f>
        <v/>
      </c>
      <c r="AP64" s="381" t="str">
        <f aca="false">IF(T64=0,"",LN(T64))</f>
        <v/>
      </c>
      <c r="AQ64" s="381" t="str">
        <f aca="false">IF(U64=0,"",LN(U64))</f>
        <v/>
      </c>
      <c r="AR64" s="381" t="str">
        <f aca="false">IF(V64=0,"",LN(V64))</f>
        <v/>
      </c>
    </row>
    <row r="65" customFormat="false" ht="12" hidden="false" customHeight="false" outlineLevel="0" collapsed="false">
      <c r="A65" s="358" t="n">
        <v>5</v>
      </c>
      <c r="B65" s="379" t="n">
        <v>0</v>
      </c>
      <c r="C65" s="379" t="n">
        <v>0</v>
      </c>
      <c r="D65" s="379" t="n">
        <v>0</v>
      </c>
      <c r="E65" s="379" t="n">
        <v>0</v>
      </c>
      <c r="F65" s="378" t="n">
        <v>1</v>
      </c>
      <c r="G65" s="379" t="n">
        <v>0</v>
      </c>
      <c r="H65" s="379" t="n">
        <v>0</v>
      </c>
      <c r="I65" s="379" t="n">
        <v>0</v>
      </c>
      <c r="J65" s="379" t="n">
        <v>0</v>
      </c>
      <c r="K65" s="379" t="n">
        <v>0</v>
      </c>
      <c r="L65" s="358" t="n">
        <v>5</v>
      </c>
      <c r="M65" s="379" t="n">
        <v>0</v>
      </c>
      <c r="N65" s="379" t="n">
        <v>0</v>
      </c>
      <c r="O65" s="379" t="n">
        <v>0</v>
      </c>
      <c r="P65" s="379" t="n">
        <v>0</v>
      </c>
      <c r="Q65" s="378" t="n">
        <v>1</v>
      </c>
      <c r="R65" s="379" t="n">
        <v>0</v>
      </c>
      <c r="S65" s="379" t="n">
        <v>0</v>
      </c>
      <c r="T65" s="379" t="n">
        <v>0</v>
      </c>
      <c r="U65" s="379" t="n">
        <v>0</v>
      </c>
      <c r="V65" s="379" t="n">
        <v>0</v>
      </c>
      <c r="X65" s="381"/>
      <c r="Y65" s="381"/>
      <c r="Z65" s="381"/>
      <c r="AA65" s="381"/>
      <c r="AB65" s="380"/>
      <c r="AC65" s="381" t="str">
        <f aca="false">IF(G65=0,"",LN(G65))</f>
        <v/>
      </c>
      <c r="AD65" s="381" t="str">
        <f aca="false">IF(H65=0,"",LN(H65))</f>
        <v/>
      </c>
      <c r="AE65" s="381" t="str">
        <f aca="false">IF(I65=0,"",LN(I65))</f>
        <v/>
      </c>
      <c r="AF65" s="381" t="str">
        <f aca="false">IF(J65=0,"",LN(J65))</f>
        <v/>
      </c>
      <c r="AG65" s="381" t="str">
        <f aca="false">IF(K65=0,"",LN(K65))</f>
        <v/>
      </c>
      <c r="AI65" s="381"/>
      <c r="AJ65" s="381"/>
      <c r="AK65" s="381"/>
      <c r="AL65" s="381"/>
      <c r="AM65" s="380"/>
      <c r="AN65" s="381" t="str">
        <f aca="false">IF(R65=0,"",LN(R65))</f>
        <v/>
      </c>
      <c r="AO65" s="381" t="str">
        <f aca="false">IF(S65=0,"",LN(S65))</f>
        <v/>
      </c>
      <c r="AP65" s="381" t="str">
        <f aca="false">IF(T65=0,"",LN(T65))</f>
        <v/>
      </c>
      <c r="AQ65" s="381" t="str">
        <f aca="false">IF(U65=0,"",LN(U65))</f>
        <v/>
      </c>
      <c r="AR65" s="381" t="str">
        <f aca="false">IF(V65=0,"",LN(V65))</f>
        <v/>
      </c>
    </row>
    <row r="66" customFormat="false" ht="12" hidden="false" customHeight="false" outlineLevel="0" collapsed="false">
      <c r="A66" s="358" t="n">
        <v>6</v>
      </c>
      <c r="B66" s="379" t="n">
        <v>0</v>
      </c>
      <c r="C66" s="379" t="n">
        <v>0</v>
      </c>
      <c r="D66" s="379" t="n">
        <v>0</v>
      </c>
      <c r="E66" s="379" t="n">
        <v>0</v>
      </c>
      <c r="F66" s="379" t="n">
        <v>0</v>
      </c>
      <c r="G66" s="378" t="n">
        <v>1</v>
      </c>
      <c r="H66" s="379" t="n">
        <v>0</v>
      </c>
      <c r="I66" s="379" t="n">
        <v>0</v>
      </c>
      <c r="J66" s="379" t="n">
        <v>0</v>
      </c>
      <c r="K66" s="379" t="n">
        <v>0</v>
      </c>
      <c r="L66" s="358" t="n">
        <v>6</v>
      </c>
      <c r="M66" s="379" t="n">
        <v>0</v>
      </c>
      <c r="N66" s="379" t="n">
        <v>0</v>
      </c>
      <c r="O66" s="379" t="n">
        <v>0</v>
      </c>
      <c r="P66" s="379" t="n">
        <v>0</v>
      </c>
      <c r="Q66" s="379" t="n">
        <v>0</v>
      </c>
      <c r="R66" s="378" t="n">
        <v>1</v>
      </c>
      <c r="S66" s="379" t="n">
        <v>0</v>
      </c>
      <c r="T66" s="379" t="n">
        <v>0</v>
      </c>
      <c r="U66" s="379" t="n">
        <v>0</v>
      </c>
      <c r="V66" s="379" t="n">
        <v>0</v>
      </c>
      <c r="X66" s="381"/>
      <c r="Y66" s="381"/>
      <c r="Z66" s="381"/>
      <c r="AA66" s="381"/>
      <c r="AB66" s="381"/>
      <c r="AC66" s="380"/>
      <c r="AD66" s="381" t="str">
        <f aca="false">IF(H66=0,"",LN(H66))</f>
        <v/>
      </c>
      <c r="AE66" s="381" t="str">
        <f aca="false">IF(I66=0,"",LN(I66))</f>
        <v/>
      </c>
      <c r="AF66" s="381" t="str">
        <f aca="false">IF(J66=0,"",LN(J66))</f>
        <v/>
      </c>
      <c r="AG66" s="381" t="str">
        <f aca="false">IF(K66=0,"",LN(K66))</f>
        <v/>
      </c>
      <c r="AI66" s="381"/>
      <c r="AJ66" s="381"/>
      <c r="AK66" s="381"/>
      <c r="AL66" s="381"/>
      <c r="AM66" s="381"/>
      <c r="AN66" s="380"/>
      <c r="AO66" s="381" t="str">
        <f aca="false">IF(S66=0,"",LN(S66))</f>
        <v/>
      </c>
      <c r="AP66" s="381" t="str">
        <f aca="false">IF(T66=0,"",LN(T66))</f>
        <v/>
      </c>
      <c r="AQ66" s="381" t="str">
        <f aca="false">IF(U66=0,"",LN(U66))</f>
        <v/>
      </c>
      <c r="AR66" s="381" t="str">
        <f aca="false">IF(V66=0,"",LN(V66))</f>
        <v/>
      </c>
    </row>
    <row r="67" customFormat="false" ht="12" hidden="false" customHeight="false" outlineLevel="0" collapsed="false">
      <c r="A67" s="358" t="n">
        <v>7</v>
      </c>
      <c r="B67" s="379" t="n">
        <v>0</v>
      </c>
      <c r="C67" s="379" t="n">
        <v>0</v>
      </c>
      <c r="D67" s="379" t="n">
        <v>0</v>
      </c>
      <c r="E67" s="379" t="n">
        <v>0</v>
      </c>
      <c r="F67" s="379" t="n">
        <v>0</v>
      </c>
      <c r="G67" s="379" t="n">
        <v>0</v>
      </c>
      <c r="H67" s="378" t="n">
        <v>1</v>
      </c>
      <c r="I67" s="379" t="n">
        <v>0</v>
      </c>
      <c r="J67" s="379" t="n">
        <v>0</v>
      </c>
      <c r="K67" s="379" t="n">
        <v>0</v>
      </c>
      <c r="L67" s="358" t="n">
        <v>7</v>
      </c>
      <c r="M67" s="379" t="n">
        <v>0</v>
      </c>
      <c r="N67" s="379" t="n">
        <v>0</v>
      </c>
      <c r="O67" s="379" t="n">
        <v>0</v>
      </c>
      <c r="P67" s="379" t="n">
        <v>0</v>
      </c>
      <c r="Q67" s="379" t="n">
        <v>0</v>
      </c>
      <c r="R67" s="379" t="n">
        <v>0</v>
      </c>
      <c r="S67" s="378" t="n">
        <v>1</v>
      </c>
      <c r="T67" s="379" t="n">
        <v>0</v>
      </c>
      <c r="U67" s="379" t="n">
        <v>0</v>
      </c>
      <c r="V67" s="379" t="n">
        <v>0</v>
      </c>
      <c r="X67" s="381"/>
      <c r="Y67" s="381"/>
      <c r="Z67" s="381"/>
      <c r="AA67" s="381"/>
      <c r="AB67" s="381"/>
      <c r="AC67" s="381"/>
      <c r="AD67" s="380"/>
      <c r="AE67" s="381" t="str">
        <f aca="false">IF(I67=0,"",LN(I67))</f>
        <v/>
      </c>
      <c r="AF67" s="381" t="str">
        <f aca="false">IF(J67=0,"",LN(J67))</f>
        <v/>
      </c>
      <c r="AG67" s="381" t="str">
        <f aca="false">IF(K67=0,"",LN(K67))</f>
        <v/>
      </c>
      <c r="AI67" s="381"/>
      <c r="AJ67" s="381"/>
      <c r="AK67" s="381"/>
      <c r="AL67" s="381"/>
      <c r="AM67" s="381"/>
      <c r="AN67" s="381"/>
      <c r="AO67" s="380"/>
      <c r="AP67" s="381" t="str">
        <f aca="false">IF(T67=0,"",LN(T67))</f>
        <v/>
      </c>
      <c r="AQ67" s="381" t="str">
        <f aca="false">IF(U67=0,"",LN(U67))</f>
        <v/>
      </c>
      <c r="AR67" s="381" t="str">
        <f aca="false">IF(V67=0,"",LN(V67))</f>
        <v/>
      </c>
    </row>
    <row r="68" customFormat="false" ht="12" hidden="false" customHeight="false" outlineLevel="0" collapsed="false">
      <c r="A68" s="358" t="n">
        <v>8</v>
      </c>
      <c r="B68" s="379" t="n">
        <v>0</v>
      </c>
      <c r="C68" s="379" t="n">
        <v>0</v>
      </c>
      <c r="D68" s="379" t="n">
        <v>0</v>
      </c>
      <c r="E68" s="379" t="n">
        <v>0</v>
      </c>
      <c r="F68" s="379" t="n">
        <v>0</v>
      </c>
      <c r="G68" s="379" t="n">
        <v>0</v>
      </c>
      <c r="H68" s="379" t="n">
        <v>0</v>
      </c>
      <c r="I68" s="378" t="n">
        <v>1</v>
      </c>
      <c r="J68" s="379" t="n">
        <v>0</v>
      </c>
      <c r="K68" s="379" t="n">
        <v>0</v>
      </c>
      <c r="L68" s="358" t="n">
        <v>8</v>
      </c>
      <c r="M68" s="379" t="n">
        <v>0</v>
      </c>
      <c r="N68" s="379" t="n">
        <v>0</v>
      </c>
      <c r="O68" s="379" t="n">
        <v>0</v>
      </c>
      <c r="P68" s="379" t="n">
        <v>0</v>
      </c>
      <c r="Q68" s="379" t="n">
        <v>0</v>
      </c>
      <c r="R68" s="379" t="n">
        <v>0</v>
      </c>
      <c r="S68" s="379" t="n">
        <v>0</v>
      </c>
      <c r="T68" s="378" t="n">
        <v>1</v>
      </c>
      <c r="U68" s="379" t="n">
        <v>0</v>
      </c>
      <c r="V68" s="379" t="n">
        <v>0</v>
      </c>
      <c r="X68" s="381"/>
      <c r="Y68" s="381"/>
      <c r="Z68" s="381"/>
      <c r="AA68" s="381"/>
      <c r="AB68" s="381"/>
      <c r="AC68" s="381"/>
      <c r="AD68" s="381"/>
      <c r="AE68" s="380"/>
      <c r="AF68" s="381" t="str">
        <f aca="false">IF(J68=0,"",LN(J68))</f>
        <v/>
      </c>
      <c r="AG68" s="381" t="str">
        <f aca="false">IF(K68=0,"",LN(K68))</f>
        <v/>
      </c>
      <c r="AI68" s="381"/>
      <c r="AJ68" s="381"/>
      <c r="AK68" s="381"/>
      <c r="AL68" s="381"/>
      <c r="AM68" s="381"/>
      <c r="AN68" s="381"/>
      <c r="AO68" s="381"/>
      <c r="AP68" s="380"/>
      <c r="AQ68" s="381" t="str">
        <f aca="false">IF(U68=0,"",LN(U68))</f>
        <v/>
      </c>
      <c r="AR68" s="381" t="str">
        <f aca="false">IF(V68=0,"",LN(V68))</f>
        <v/>
      </c>
    </row>
    <row r="69" customFormat="false" ht="12" hidden="false" customHeight="false" outlineLevel="0" collapsed="false">
      <c r="A69" s="358" t="n">
        <v>9</v>
      </c>
      <c r="B69" s="379" t="n">
        <v>0</v>
      </c>
      <c r="C69" s="379" t="n">
        <v>0</v>
      </c>
      <c r="D69" s="379" t="n">
        <v>0</v>
      </c>
      <c r="E69" s="379" t="n">
        <v>0</v>
      </c>
      <c r="F69" s="379" t="n">
        <v>0</v>
      </c>
      <c r="G69" s="379" t="n">
        <v>0</v>
      </c>
      <c r="H69" s="379" t="n">
        <v>0</v>
      </c>
      <c r="I69" s="379" t="n">
        <v>0</v>
      </c>
      <c r="J69" s="378" t="n">
        <v>1</v>
      </c>
      <c r="K69" s="379" t="n">
        <v>0</v>
      </c>
      <c r="L69" s="358" t="n">
        <v>9</v>
      </c>
      <c r="M69" s="379" t="n">
        <v>0</v>
      </c>
      <c r="N69" s="379" t="n">
        <v>0</v>
      </c>
      <c r="O69" s="379" t="n">
        <v>0</v>
      </c>
      <c r="P69" s="379" t="n">
        <v>0</v>
      </c>
      <c r="Q69" s="379" t="n">
        <v>0</v>
      </c>
      <c r="R69" s="379" t="n">
        <v>0</v>
      </c>
      <c r="S69" s="379" t="n">
        <v>0</v>
      </c>
      <c r="T69" s="379" t="n">
        <v>0</v>
      </c>
      <c r="U69" s="378" t="n">
        <v>1</v>
      </c>
      <c r="V69" s="379" t="n">
        <v>0</v>
      </c>
      <c r="X69" s="381"/>
      <c r="Y69" s="381"/>
      <c r="Z69" s="381"/>
      <c r="AA69" s="381"/>
      <c r="AB69" s="381"/>
      <c r="AC69" s="381"/>
      <c r="AD69" s="381"/>
      <c r="AE69" s="381"/>
      <c r="AF69" s="380"/>
      <c r="AG69" s="381" t="str">
        <f aca="false">IF(K69=0,"",LN(K69))</f>
        <v/>
      </c>
      <c r="AI69" s="381"/>
      <c r="AJ69" s="381"/>
      <c r="AK69" s="381"/>
      <c r="AL69" s="381"/>
      <c r="AM69" s="381"/>
      <c r="AN69" s="381"/>
      <c r="AO69" s="381"/>
      <c r="AP69" s="381"/>
      <c r="AQ69" s="380"/>
      <c r="AR69" s="381" t="str">
        <f aca="false">IF(V69=0,"",LN(V69))</f>
        <v/>
      </c>
    </row>
    <row r="70" customFormat="false" ht="12" hidden="false" customHeight="false" outlineLevel="0" collapsed="false">
      <c r="A70" s="358" t="n">
        <v>10</v>
      </c>
      <c r="B70" s="379" t="n">
        <v>0</v>
      </c>
      <c r="C70" s="379" t="n">
        <v>0</v>
      </c>
      <c r="D70" s="379" t="n">
        <v>0</v>
      </c>
      <c r="E70" s="379" t="n">
        <v>0</v>
      </c>
      <c r="F70" s="379" t="n">
        <v>0</v>
      </c>
      <c r="G70" s="379" t="n">
        <v>0</v>
      </c>
      <c r="H70" s="379" t="n">
        <v>0</v>
      </c>
      <c r="I70" s="379" t="n">
        <v>0</v>
      </c>
      <c r="J70" s="379" t="n">
        <v>0</v>
      </c>
      <c r="K70" s="378" t="n">
        <v>1</v>
      </c>
      <c r="L70" s="358" t="n">
        <v>10</v>
      </c>
      <c r="M70" s="379" t="n">
        <v>0</v>
      </c>
      <c r="N70" s="379" t="n">
        <v>0</v>
      </c>
      <c r="O70" s="379" t="n">
        <v>0</v>
      </c>
      <c r="P70" s="379" t="n">
        <v>0</v>
      </c>
      <c r="Q70" s="379" t="n">
        <v>0</v>
      </c>
      <c r="R70" s="379" t="n">
        <v>0</v>
      </c>
      <c r="S70" s="379" t="n">
        <v>0</v>
      </c>
      <c r="T70" s="379" t="n">
        <v>0</v>
      </c>
      <c r="U70" s="379" t="n">
        <v>0</v>
      </c>
      <c r="V70" s="378" t="n">
        <v>1</v>
      </c>
      <c r="X70" s="381"/>
      <c r="Y70" s="381"/>
      <c r="Z70" s="381"/>
      <c r="AA70" s="381"/>
      <c r="AB70" s="381"/>
      <c r="AC70" s="381"/>
      <c r="AD70" s="381"/>
      <c r="AE70" s="381"/>
      <c r="AF70" s="381"/>
      <c r="AG70" s="380"/>
      <c r="AI70" s="381"/>
      <c r="AJ70" s="381"/>
      <c r="AK70" s="381"/>
      <c r="AL70" s="381"/>
      <c r="AM70" s="381"/>
      <c r="AN70" s="381"/>
      <c r="AO70" s="381"/>
      <c r="AP70" s="381"/>
      <c r="AQ70" s="381"/>
      <c r="AR70" s="380"/>
    </row>
    <row r="72" customFormat="false" ht="12.75" hidden="false" customHeight="false" outlineLevel="0" collapsed="false">
      <c r="A72" s="369" t="n">
        <v>10</v>
      </c>
      <c r="B72" s="370" t="str">
        <f aca="true">INDIRECT(ADDRESS(17,2,1,1,"in"&amp;TEXT(A72,"@")))</f>
        <v>Participant 10</v>
      </c>
      <c r="C72" s="370"/>
      <c r="D72" s="370"/>
      <c r="E72" s="370"/>
      <c r="F72" s="370"/>
      <c r="G72" s="370"/>
      <c r="H72" s="371" t="n">
        <f aca="true">INDIRECT(ADDRESS(17,6,1,1,"in"&amp;TEXT(A72,"@")))</f>
        <v>1</v>
      </c>
      <c r="I72" s="372"/>
      <c r="J72" s="373" t="n">
        <f aca="true">INDIRECT(ADDRESS(17,7,1,1,"in"&amp;TEXT(A72,"@")))</f>
        <v>0</v>
      </c>
      <c r="K72" s="373"/>
      <c r="L72" s="369" t="n">
        <v>11</v>
      </c>
      <c r="M72" s="370" t="str">
        <f aca="true">INDIRECT(ADDRESS(17,2,1,1,"in"&amp;TEXT(L72,"@")))</f>
        <v>Participant 11</v>
      </c>
      <c r="N72" s="370"/>
      <c r="O72" s="370"/>
      <c r="P72" s="370"/>
      <c r="Q72" s="370"/>
      <c r="R72" s="370"/>
      <c r="S72" s="371" t="n">
        <f aca="true">INDIRECT(ADDRESS(17,6,1,1,"in"&amp;TEXT(L72,"@")))</f>
        <v>1</v>
      </c>
      <c r="T72" s="372"/>
      <c r="U72" s="373" t="n">
        <f aca="true">INDIRECT(ADDRESS(17,7,1,1,"in"&amp;TEXT(L72,"@")))</f>
        <v>0</v>
      </c>
      <c r="V72" s="373"/>
      <c r="X72" s="370"/>
      <c r="Y72" s="370"/>
      <c r="Z72" s="370"/>
      <c r="AA72" s="370"/>
      <c r="AB72" s="370"/>
      <c r="AC72" s="370"/>
      <c r="AD72" s="375" t="n">
        <f aca="false">IF(A72&gt;$N$4,0,IF(H72=0,1,H72))</f>
        <v>0</v>
      </c>
      <c r="AE72" s="375"/>
      <c r="AF72" s="373"/>
      <c r="AG72" s="373"/>
      <c r="AI72" s="370"/>
      <c r="AJ72" s="370"/>
      <c r="AK72" s="370"/>
      <c r="AL72" s="370"/>
      <c r="AM72" s="370"/>
      <c r="AN72" s="370"/>
      <c r="AO72" s="375" t="n">
        <f aca="false">IF(L72&gt;$N$4,0,IF(S72=0,1,S72))</f>
        <v>0</v>
      </c>
      <c r="AP72" s="375"/>
      <c r="AQ72" s="373"/>
      <c r="AR72" s="373"/>
    </row>
    <row r="73" customFormat="false" ht="12" hidden="false" customHeight="false" outlineLevel="0" collapsed="false">
      <c r="B73" s="376" t="n">
        <v>1</v>
      </c>
      <c r="C73" s="376" t="n">
        <v>2</v>
      </c>
      <c r="D73" s="376" t="n">
        <v>3</v>
      </c>
      <c r="E73" s="376" t="n">
        <v>4</v>
      </c>
      <c r="F73" s="376" t="n">
        <v>5</v>
      </c>
      <c r="G73" s="376" t="n">
        <v>6</v>
      </c>
      <c r="H73" s="376" t="n">
        <v>7</v>
      </c>
      <c r="I73" s="376" t="n">
        <v>8</v>
      </c>
      <c r="J73" s="358" t="n">
        <v>9</v>
      </c>
      <c r="K73" s="358" t="n">
        <v>10</v>
      </c>
      <c r="M73" s="376" t="n">
        <v>1</v>
      </c>
      <c r="N73" s="376" t="n">
        <v>2</v>
      </c>
      <c r="O73" s="376" t="n">
        <v>3</v>
      </c>
      <c r="P73" s="376" t="n">
        <v>4</v>
      </c>
      <c r="Q73" s="376" t="n">
        <v>5</v>
      </c>
      <c r="R73" s="376" t="n">
        <v>6</v>
      </c>
      <c r="S73" s="376" t="n">
        <v>7</v>
      </c>
      <c r="T73" s="376" t="n">
        <v>8</v>
      </c>
      <c r="U73" s="358" t="n">
        <v>9</v>
      </c>
      <c r="V73" s="358" t="n">
        <v>10</v>
      </c>
      <c r="X73" s="376"/>
      <c r="Y73" s="376"/>
      <c r="Z73" s="376"/>
      <c r="AA73" s="376"/>
      <c r="AB73" s="376"/>
      <c r="AC73" s="376"/>
      <c r="AD73" s="376"/>
      <c r="AE73" s="376"/>
      <c r="AI73" s="376"/>
      <c r="AJ73" s="376"/>
      <c r="AK73" s="376"/>
      <c r="AL73" s="376"/>
      <c r="AM73" s="376"/>
      <c r="AN73" s="376"/>
      <c r="AO73" s="376"/>
      <c r="AP73" s="376"/>
    </row>
    <row r="74" customFormat="false" ht="12" hidden="false" customHeight="false" outlineLevel="0" collapsed="false">
      <c r="A74" s="358" t="n">
        <v>1</v>
      </c>
      <c r="B74" s="378" t="n">
        <f aca="false" t="array" ref="B74:K83">Matrix10</f>
        <v>1</v>
      </c>
      <c r="C74" s="379" t="n">
        <v>1</v>
      </c>
      <c r="D74" s="379" t="n">
        <v>0</v>
      </c>
      <c r="E74" s="379" t="n">
        <v>0</v>
      </c>
      <c r="F74" s="379" t="n">
        <v>0</v>
      </c>
      <c r="G74" s="379" t="n">
        <v>0</v>
      </c>
      <c r="H74" s="379" t="n">
        <v>0</v>
      </c>
      <c r="I74" s="379" t="n">
        <v>0</v>
      </c>
      <c r="J74" s="379" t="n">
        <v>0</v>
      </c>
      <c r="K74" s="379" t="n">
        <v>0</v>
      </c>
      <c r="L74" s="358" t="n">
        <v>1</v>
      </c>
      <c r="M74" s="378" t="n">
        <f aca="false" t="array" ref="M74:V83">Matrix11</f>
        <v>1</v>
      </c>
      <c r="N74" s="379" t="n">
        <v>1</v>
      </c>
      <c r="O74" s="379" t="n">
        <v>0</v>
      </c>
      <c r="P74" s="379" t="n">
        <v>0</v>
      </c>
      <c r="Q74" s="379" t="n">
        <v>0</v>
      </c>
      <c r="R74" s="379" t="n">
        <v>0</v>
      </c>
      <c r="S74" s="379" t="n">
        <v>0</v>
      </c>
      <c r="T74" s="379" t="n">
        <v>0</v>
      </c>
      <c r="U74" s="379" t="n">
        <v>0</v>
      </c>
      <c r="V74" s="379" t="n">
        <v>0</v>
      </c>
      <c r="X74" s="380"/>
      <c r="Y74" s="381" t="n">
        <f aca="false">IF(C74=0,"",LN(C74))</f>
        <v>0</v>
      </c>
      <c r="Z74" s="381" t="str">
        <f aca="false">IF(D74=0,"",LN(D74))</f>
        <v/>
      </c>
      <c r="AA74" s="381" t="str">
        <f aca="false">IF(E74=0,"",LN(E74))</f>
        <v/>
      </c>
      <c r="AB74" s="381" t="str">
        <f aca="false">IF(F74=0,"",LN(F74))</f>
        <v/>
      </c>
      <c r="AC74" s="381" t="str">
        <f aca="false">IF(G74=0,"",LN(G74))</f>
        <v/>
      </c>
      <c r="AD74" s="381" t="str">
        <f aca="false">IF(H74=0,"",LN(H74))</f>
        <v/>
      </c>
      <c r="AE74" s="381" t="str">
        <f aca="false">IF(I74=0,"",LN(I74))</f>
        <v/>
      </c>
      <c r="AF74" s="381" t="str">
        <f aca="false">IF(J74=0,"",LN(J74))</f>
        <v/>
      </c>
      <c r="AG74" s="381" t="str">
        <f aca="false">IF(K74=0,"",LN(K74))</f>
        <v/>
      </c>
      <c r="AI74" s="380"/>
      <c r="AJ74" s="381" t="n">
        <f aca="false">IF(N74=0,"",LN(N74))</f>
        <v>0</v>
      </c>
      <c r="AK74" s="381" t="str">
        <f aca="false">IF(O74=0,"",LN(O74))</f>
        <v/>
      </c>
      <c r="AL74" s="381" t="str">
        <f aca="false">IF(P74=0,"",LN(P74))</f>
        <v/>
      </c>
      <c r="AM74" s="381" t="str">
        <f aca="false">IF(Q74=0,"",LN(Q74))</f>
        <v/>
      </c>
      <c r="AN74" s="381" t="str">
        <f aca="false">IF(R74=0,"",LN(R74))</f>
        <v/>
      </c>
      <c r="AO74" s="381" t="str">
        <f aca="false">IF(S74=0,"",LN(S74))</f>
        <v/>
      </c>
      <c r="AP74" s="381" t="str">
        <f aca="false">IF(T74=0,"",LN(T74))</f>
        <v/>
      </c>
      <c r="AQ74" s="381" t="str">
        <f aca="false">IF(U74=0,"",LN(U74))</f>
        <v/>
      </c>
      <c r="AR74" s="381" t="str">
        <f aca="false">IF(V74=0,"",LN(V74))</f>
        <v/>
      </c>
    </row>
    <row r="75" customFormat="false" ht="12" hidden="false" customHeight="false" outlineLevel="0" collapsed="false">
      <c r="A75" s="358" t="n">
        <v>2</v>
      </c>
      <c r="B75" s="379" t="n">
        <v>1</v>
      </c>
      <c r="C75" s="378" t="n">
        <v>1</v>
      </c>
      <c r="D75" s="379" t="n">
        <v>0</v>
      </c>
      <c r="E75" s="379" t="n">
        <v>0</v>
      </c>
      <c r="F75" s="379" t="n">
        <v>0</v>
      </c>
      <c r="G75" s="379" t="n">
        <v>0</v>
      </c>
      <c r="H75" s="379" t="n">
        <v>0</v>
      </c>
      <c r="I75" s="379" t="n">
        <v>0</v>
      </c>
      <c r="J75" s="379" t="n">
        <v>0</v>
      </c>
      <c r="K75" s="379" t="n">
        <v>0</v>
      </c>
      <c r="L75" s="358" t="n">
        <v>2</v>
      </c>
      <c r="M75" s="379" t="n">
        <v>1</v>
      </c>
      <c r="N75" s="378" t="n">
        <v>1</v>
      </c>
      <c r="O75" s="379" t="n">
        <v>0</v>
      </c>
      <c r="P75" s="379" t="n">
        <v>0</v>
      </c>
      <c r="Q75" s="379" t="n">
        <v>0</v>
      </c>
      <c r="R75" s="379" t="n">
        <v>0</v>
      </c>
      <c r="S75" s="379" t="n">
        <v>0</v>
      </c>
      <c r="T75" s="379" t="n">
        <v>0</v>
      </c>
      <c r="U75" s="379" t="n">
        <v>0</v>
      </c>
      <c r="V75" s="379" t="n">
        <v>0</v>
      </c>
      <c r="X75" s="381"/>
      <c r="Y75" s="380"/>
      <c r="Z75" s="381" t="str">
        <f aca="false">IF(D75=0,"",LN(D75))</f>
        <v/>
      </c>
      <c r="AA75" s="381" t="str">
        <f aca="false">IF(E75=0,"",LN(E75))</f>
        <v/>
      </c>
      <c r="AB75" s="381" t="str">
        <f aca="false">IF(F75=0,"",LN(F75))</f>
        <v/>
      </c>
      <c r="AC75" s="381" t="str">
        <f aca="false">IF(G75=0,"",LN(G75))</f>
        <v/>
      </c>
      <c r="AD75" s="381" t="str">
        <f aca="false">IF(H75=0,"",LN(H75))</f>
        <v/>
      </c>
      <c r="AE75" s="381" t="str">
        <f aca="false">IF(I75=0,"",LN(I75))</f>
        <v/>
      </c>
      <c r="AF75" s="381" t="str">
        <f aca="false">IF(J75=0,"",LN(J75))</f>
        <v/>
      </c>
      <c r="AG75" s="381" t="str">
        <f aca="false">IF(K75=0,"",LN(K75))</f>
        <v/>
      </c>
      <c r="AI75" s="381"/>
      <c r="AJ75" s="380"/>
      <c r="AK75" s="381" t="str">
        <f aca="false">IF(O75=0,"",LN(O75))</f>
        <v/>
      </c>
      <c r="AL75" s="381" t="str">
        <f aca="false">IF(P75=0,"",LN(P75))</f>
        <v/>
      </c>
      <c r="AM75" s="381" t="str">
        <f aca="false">IF(Q75=0,"",LN(Q75))</f>
        <v/>
      </c>
      <c r="AN75" s="381" t="str">
        <f aca="false">IF(R75=0,"",LN(R75))</f>
        <v/>
      </c>
      <c r="AO75" s="381" t="str">
        <f aca="false">IF(S75=0,"",LN(S75))</f>
        <v/>
      </c>
      <c r="AP75" s="381" t="str">
        <f aca="false">IF(T75=0,"",LN(T75))</f>
        <v/>
      </c>
      <c r="AQ75" s="381" t="str">
        <f aca="false">IF(U75=0,"",LN(U75))</f>
        <v/>
      </c>
      <c r="AR75" s="381" t="str">
        <f aca="false">IF(V75=0,"",LN(V75))</f>
        <v/>
      </c>
    </row>
    <row r="76" customFormat="false" ht="12" hidden="false" customHeight="false" outlineLevel="0" collapsed="false">
      <c r="A76" s="358" t="n">
        <v>3</v>
      </c>
      <c r="B76" s="379" t="n">
        <v>0</v>
      </c>
      <c r="C76" s="379" t="n">
        <v>0</v>
      </c>
      <c r="D76" s="378" t="n">
        <v>1</v>
      </c>
      <c r="E76" s="379" t="n">
        <v>0</v>
      </c>
      <c r="F76" s="379" t="n">
        <v>0</v>
      </c>
      <c r="G76" s="379" t="n">
        <v>0</v>
      </c>
      <c r="H76" s="379" t="n">
        <v>0</v>
      </c>
      <c r="I76" s="379" t="n">
        <v>0</v>
      </c>
      <c r="J76" s="379" t="n">
        <v>0</v>
      </c>
      <c r="K76" s="379" t="n">
        <v>0</v>
      </c>
      <c r="L76" s="358" t="n">
        <v>3</v>
      </c>
      <c r="M76" s="379" t="n">
        <v>0</v>
      </c>
      <c r="N76" s="379" t="n">
        <v>0</v>
      </c>
      <c r="O76" s="378" t="n">
        <v>1</v>
      </c>
      <c r="P76" s="379" t="n">
        <v>0</v>
      </c>
      <c r="Q76" s="379" t="n">
        <v>0</v>
      </c>
      <c r="R76" s="379" t="n">
        <v>0</v>
      </c>
      <c r="S76" s="379" t="n">
        <v>0</v>
      </c>
      <c r="T76" s="379" t="n">
        <v>0</v>
      </c>
      <c r="U76" s="379" t="n">
        <v>0</v>
      </c>
      <c r="V76" s="379" t="n">
        <v>0</v>
      </c>
      <c r="X76" s="381"/>
      <c r="Y76" s="381"/>
      <c r="Z76" s="380"/>
      <c r="AA76" s="381" t="str">
        <f aca="false">IF(E76=0,"",LN(E76))</f>
        <v/>
      </c>
      <c r="AB76" s="381" t="str">
        <f aca="false">IF(F76=0,"",LN(F76))</f>
        <v/>
      </c>
      <c r="AC76" s="381" t="str">
        <f aca="false">IF(G76=0,"",LN(G76))</f>
        <v/>
      </c>
      <c r="AD76" s="381" t="str">
        <f aca="false">IF(H76=0,"",LN(H76))</f>
        <v/>
      </c>
      <c r="AE76" s="381" t="str">
        <f aca="false">IF(I76=0,"",LN(I76))</f>
        <v/>
      </c>
      <c r="AF76" s="381" t="str">
        <f aca="false">IF(J76=0,"",LN(J76))</f>
        <v/>
      </c>
      <c r="AG76" s="381" t="str">
        <f aca="false">IF(K76=0,"",LN(K76))</f>
        <v/>
      </c>
      <c r="AI76" s="381"/>
      <c r="AJ76" s="381"/>
      <c r="AK76" s="380"/>
      <c r="AL76" s="381" t="str">
        <f aca="false">IF(P76=0,"",LN(P76))</f>
        <v/>
      </c>
      <c r="AM76" s="381" t="str">
        <f aca="false">IF(Q76=0,"",LN(Q76))</f>
        <v/>
      </c>
      <c r="AN76" s="381" t="str">
        <f aca="false">IF(R76=0,"",LN(R76))</f>
        <v/>
      </c>
      <c r="AO76" s="381" t="str">
        <f aca="false">IF(S76=0,"",LN(S76))</f>
        <v/>
      </c>
      <c r="AP76" s="381" t="str">
        <f aca="false">IF(T76=0,"",LN(T76))</f>
        <v/>
      </c>
      <c r="AQ76" s="381" t="str">
        <f aca="false">IF(U76=0,"",LN(U76))</f>
        <v/>
      </c>
      <c r="AR76" s="381" t="str">
        <f aca="false">IF(V76=0,"",LN(V76))</f>
        <v/>
      </c>
    </row>
    <row r="77" customFormat="false" ht="12" hidden="false" customHeight="false" outlineLevel="0" collapsed="false">
      <c r="A77" s="358" t="n">
        <v>4</v>
      </c>
      <c r="B77" s="379" t="n">
        <v>0</v>
      </c>
      <c r="C77" s="379" t="n">
        <v>0</v>
      </c>
      <c r="D77" s="379" t="n">
        <v>0</v>
      </c>
      <c r="E77" s="378" t="n">
        <v>1</v>
      </c>
      <c r="F77" s="379" t="n">
        <v>0</v>
      </c>
      <c r="G77" s="379" t="n">
        <v>0</v>
      </c>
      <c r="H77" s="379" t="n">
        <v>0</v>
      </c>
      <c r="I77" s="379" t="n">
        <v>0</v>
      </c>
      <c r="J77" s="379" t="n">
        <v>0</v>
      </c>
      <c r="K77" s="379" t="n">
        <v>0</v>
      </c>
      <c r="L77" s="358" t="n">
        <v>4</v>
      </c>
      <c r="M77" s="379" t="n">
        <v>0</v>
      </c>
      <c r="N77" s="379" t="n">
        <v>0</v>
      </c>
      <c r="O77" s="379" t="n">
        <v>0</v>
      </c>
      <c r="P77" s="378" t="n">
        <v>1</v>
      </c>
      <c r="Q77" s="379" t="n">
        <v>0</v>
      </c>
      <c r="R77" s="379" t="n">
        <v>0</v>
      </c>
      <c r="S77" s="379" t="n">
        <v>0</v>
      </c>
      <c r="T77" s="379" t="n">
        <v>0</v>
      </c>
      <c r="U77" s="379" t="n">
        <v>0</v>
      </c>
      <c r="V77" s="379" t="n">
        <v>0</v>
      </c>
      <c r="X77" s="381"/>
      <c r="Y77" s="381"/>
      <c r="Z77" s="381"/>
      <c r="AA77" s="380"/>
      <c r="AB77" s="381" t="str">
        <f aca="false">IF(F77=0,"",LN(F77))</f>
        <v/>
      </c>
      <c r="AC77" s="381" t="str">
        <f aca="false">IF(G77=0,"",LN(G77))</f>
        <v/>
      </c>
      <c r="AD77" s="381" t="str">
        <f aca="false">IF(H77=0,"",LN(H77))</f>
        <v/>
      </c>
      <c r="AE77" s="381" t="str">
        <f aca="false">IF(I77=0,"",LN(I77))</f>
        <v/>
      </c>
      <c r="AF77" s="381" t="str">
        <f aca="false">IF(J77=0,"",LN(J77))</f>
        <v/>
      </c>
      <c r="AG77" s="381" t="str">
        <f aca="false">IF(K77=0,"",LN(K77))</f>
        <v/>
      </c>
      <c r="AI77" s="381"/>
      <c r="AJ77" s="381"/>
      <c r="AK77" s="381"/>
      <c r="AL77" s="380"/>
      <c r="AM77" s="381" t="str">
        <f aca="false">IF(Q77=0,"",LN(Q77))</f>
        <v/>
      </c>
      <c r="AN77" s="381" t="str">
        <f aca="false">IF(R77=0,"",LN(R77))</f>
        <v/>
      </c>
      <c r="AO77" s="381" t="str">
        <f aca="false">IF(S77=0,"",LN(S77))</f>
        <v/>
      </c>
      <c r="AP77" s="381" t="str">
        <f aca="false">IF(T77=0,"",LN(T77))</f>
        <v/>
      </c>
      <c r="AQ77" s="381" t="str">
        <f aca="false">IF(U77=0,"",LN(U77))</f>
        <v/>
      </c>
      <c r="AR77" s="381" t="str">
        <f aca="false">IF(V77=0,"",LN(V77))</f>
        <v/>
      </c>
    </row>
    <row r="78" customFormat="false" ht="12" hidden="false" customHeight="false" outlineLevel="0" collapsed="false">
      <c r="A78" s="358" t="n">
        <v>5</v>
      </c>
      <c r="B78" s="379" t="n">
        <v>0</v>
      </c>
      <c r="C78" s="379" t="n">
        <v>0</v>
      </c>
      <c r="D78" s="379" t="n">
        <v>0</v>
      </c>
      <c r="E78" s="379" t="n">
        <v>0</v>
      </c>
      <c r="F78" s="378" t="n">
        <v>1</v>
      </c>
      <c r="G78" s="379" t="n">
        <v>0</v>
      </c>
      <c r="H78" s="379" t="n">
        <v>0</v>
      </c>
      <c r="I78" s="379" t="n">
        <v>0</v>
      </c>
      <c r="J78" s="379" t="n">
        <v>0</v>
      </c>
      <c r="K78" s="379" t="n">
        <v>0</v>
      </c>
      <c r="L78" s="358" t="n">
        <v>5</v>
      </c>
      <c r="M78" s="379" t="n">
        <v>0</v>
      </c>
      <c r="N78" s="379" t="n">
        <v>0</v>
      </c>
      <c r="O78" s="379" t="n">
        <v>0</v>
      </c>
      <c r="P78" s="379" t="n">
        <v>0</v>
      </c>
      <c r="Q78" s="378" t="n">
        <v>1</v>
      </c>
      <c r="R78" s="379" t="n">
        <v>0</v>
      </c>
      <c r="S78" s="379" t="n">
        <v>0</v>
      </c>
      <c r="T78" s="379" t="n">
        <v>0</v>
      </c>
      <c r="U78" s="379" t="n">
        <v>0</v>
      </c>
      <c r="V78" s="379" t="n">
        <v>0</v>
      </c>
      <c r="X78" s="381"/>
      <c r="Y78" s="381"/>
      <c r="Z78" s="381"/>
      <c r="AA78" s="381"/>
      <c r="AB78" s="380"/>
      <c r="AC78" s="381" t="str">
        <f aca="false">IF(G78=0,"",LN(G78))</f>
        <v/>
      </c>
      <c r="AD78" s="381" t="str">
        <f aca="false">IF(H78=0,"",LN(H78))</f>
        <v/>
      </c>
      <c r="AE78" s="381" t="str">
        <f aca="false">IF(I78=0,"",LN(I78))</f>
        <v/>
      </c>
      <c r="AF78" s="381" t="str">
        <f aca="false">IF(J78=0,"",LN(J78))</f>
        <v/>
      </c>
      <c r="AG78" s="381" t="str">
        <f aca="false">IF(K78=0,"",LN(K78))</f>
        <v/>
      </c>
      <c r="AI78" s="381"/>
      <c r="AJ78" s="381"/>
      <c r="AK78" s="381"/>
      <c r="AL78" s="381"/>
      <c r="AM78" s="380"/>
      <c r="AN78" s="381" t="str">
        <f aca="false">IF(R78=0,"",LN(R78))</f>
        <v/>
      </c>
      <c r="AO78" s="381" t="str">
        <f aca="false">IF(S78=0,"",LN(S78))</f>
        <v/>
      </c>
      <c r="AP78" s="381" t="str">
        <f aca="false">IF(T78=0,"",LN(T78))</f>
        <v/>
      </c>
      <c r="AQ78" s="381" t="str">
        <f aca="false">IF(U78=0,"",LN(U78))</f>
        <v/>
      </c>
      <c r="AR78" s="381" t="str">
        <f aca="false">IF(V78=0,"",LN(V78))</f>
        <v/>
      </c>
    </row>
    <row r="79" customFormat="false" ht="12" hidden="false" customHeight="false" outlineLevel="0" collapsed="false">
      <c r="A79" s="358" t="n">
        <v>6</v>
      </c>
      <c r="B79" s="379" t="n">
        <v>0</v>
      </c>
      <c r="C79" s="379" t="n">
        <v>0</v>
      </c>
      <c r="D79" s="379" t="n">
        <v>0</v>
      </c>
      <c r="E79" s="379" t="n">
        <v>0</v>
      </c>
      <c r="F79" s="379" t="n">
        <v>0</v>
      </c>
      <c r="G79" s="378" t="n">
        <v>1</v>
      </c>
      <c r="H79" s="379" t="n">
        <v>0</v>
      </c>
      <c r="I79" s="379" t="n">
        <v>0</v>
      </c>
      <c r="J79" s="379" t="n">
        <v>0</v>
      </c>
      <c r="K79" s="379" t="n">
        <v>0</v>
      </c>
      <c r="L79" s="358" t="n">
        <v>6</v>
      </c>
      <c r="M79" s="379" t="n">
        <v>0</v>
      </c>
      <c r="N79" s="379" t="n">
        <v>0</v>
      </c>
      <c r="O79" s="379" t="n">
        <v>0</v>
      </c>
      <c r="P79" s="379" t="n">
        <v>0</v>
      </c>
      <c r="Q79" s="379" t="n">
        <v>0</v>
      </c>
      <c r="R79" s="378" t="n">
        <v>1</v>
      </c>
      <c r="S79" s="379" t="n">
        <v>0</v>
      </c>
      <c r="T79" s="379" t="n">
        <v>0</v>
      </c>
      <c r="U79" s="379" t="n">
        <v>0</v>
      </c>
      <c r="V79" s="379" t="n">
        <v>0</v>
      </c>
      <c r="X79" s="381"/>
      <c r="Y79" s="381"/>
      <c r="Z79" s="381"/>
      <c r="AA79" s="381"/>
      <c r="AB79" s="381"/>
      <c r="AC79" s="380"/>
      <c r="AD79" s="381" t="str">
        <f aca="false">IF(H79=0,"",LN(H79))</f>
        <v/>
      </c>
      <c r="AE79" s="381" t="str">
        <f aca="false">IF(I79=0,"",LN(I79))</f>
        <v/>
      </c>
      <c r="AF79" s="381" t="str">
        <f aca="false">IF(J79=0,"",LN(J79))</f>
        <v/>
      </c>
      <c r="AG79" s="381" t="str">
        <f aca="false">IF(K79=0,"",LN(K79))</f>
        <v/>
      </c>
      <c r="AI79" s="381"/>
      <c r="AJ79" s="381"/>
      <c r="AK79" s="381"/>
      <c r="AL79" s="381"/>
      <c r="AM79" s="381"/>
      <c r="AN79" s="380"/>
      <c r="AO79" s="381" t="str">
        <f aca="false">IF(S79=0,"",LN(S79))</f>
        <v/>
      </c>
      <c r="AP79" s="381" t="str">
        <f aca="false">IF(T79=0,"",LN(T79))</f>
        <v/>
      </c>
      <c r="AQ79" s="381" t="str">
        <f aca="false">IF(U79=0,"",LN(U79))</f>
        <v/>
      </c>
      <c r="AR79" s="381" t="str">
        <f aca="false">IF(V79=0,"",LN(V79))</f>
        <v/>
      </c>
    </row>
    <row r="80" customFormat="false" ht="12" hidden="false" customHeight="false" outlineLevel="0" collapsed="false">
      <c r="A80" s="358" t="n">
        <v>7</v>
      </c>
      <c r="B80" s="379" t="n">
        <v>0</v>
      </c>
      <c r="C80" s="379" t="n">
        <v>0</v>
      </c>
      <c r="D80" s="379" t="n">
        <v>0</v>
      </c>
      <c r="E80" s="379" t="n">
        <v>0</v>
      </c>
      <c r="F80" s="379" t="n">
        <v>0</v>
      </c>
      <c r="G80" s="379" t="n">
        <v>0</v>
      </c>
      <c r="H80" s="378" t="n">
        <v>1</v>
      </c>
      <c r="I80" s="379" t="n">
        <v>0</v>
      </c>
      <c r="J80" s="379" t="n">
        <v>0</v>
      </c>
      <c r="K80" s="379" t="n">
        <v>0</v>
      </c>
      <c r="L80" s="358" t="n">
        <v>7</v>
      </c>
      <c r="M80" s="379" t="n">
        <v>0</v>
      </c>
      <c r="N80" s="379" t="n">
        <v>0</v>
      </c>
      <c r="O80" s="379" t="n">
        <v>0</v>
      </c>
      <c r="P80" s="379" t="n">
        <v>0</v>
      </c>
      <c r="Q80" s="379" t="n">
        <v>0</v>
      </c>
      <c r="R80" s="379" t="n">
        <v>0</v>
      </c>
      <c r="S80" s="378" t="n">
        <v>1</v>
      </c>
      <c r="T80" s="379" t="n">
        <v>0</v>
      </c>
      <c r="U80" s="379" t="n">
        <v>0</v>
      </c>
      <c r="V80" s="379" t="n">
        <v>0</v>
      </c>
      <c r="X80" s="381"/>
      <c r="Y80" s="381"/>
      <c r="Z80" s="381"/>
      <c r="AA80" s="381"/>
      <c r="AB80" s="381"/>
      <c r="AC80" s="381"/>
      <c r="AD80" s="380"/>
      <c r="AE80" s="381" t="str">
        <f aca="false">IF(I80=0,"",LN(I80))</f>
        <v/>
      </c>
      <c r="AF80" s="381" t="str">
        <f aca="false">IF(J80=0,"",LN(J80))</f>
        <v/>
      </c>
      <c r="AG80" s="381" t="str">
        <f aca="false">IF(K80=0,"",LN(K80))</f>
        <v/>
      </c>
      <c r="AI80" s="381"/>
      <c r="AJ80" s="381"/>
      <c r="AK80" s="381"/>
      <c r="AL80" s="381"/>
      <c r="AM80" s="381"/>
      <c r="AN80" s="381"/>
      <c r="AO80" s="380"/>
      <c r="AP80" s="381" t="str">
        <f aca="false">IF(T80=0,"",LN(T80))</f>
        <v/>
      </c>
      <c r="AQ80" s="381" t="str">
        <f aca="false">IF(U80=0,"",LN(U80))</f>
        <v/>
      </c>
      <c r="AR80" s="381" t="str">
        <f aca="false">IF(V80=0,"",LN(V80))</f>
        <v/>
      </c>
    </row>
    <row r="81" customFormat="false" ht="12" hidden="false" customHeight="false" outlineLevel="0" collapsed="false">
      <c r="A81" s="358" t="n">
        <v>8</v>
      </c>
      <c r="B81" s="379" t="n">
        <v>0</v>
      </c>
      <c r="C81" s="379" t="n">
        <v>0</v>
      </c>
      <c r="D81" s="379" t="n">
        <v>0</v>
      </c>
      <c r="E81" s="379" t="n">
        <v>0</v>
      </c>
      <c r="F81" s="379" t="n">
        <v>0</v>
      </c>
      <c r="G81" s="379" t="n">
        <v>0</v>
      </c>
      <c r="H81" s="379" t="n">
        <v>0</v>
      </c>
      <c r="I81" s="378" t="n">
        <v>1</v>
      </c>
      <c r="J81" s="379" t="n">
        <v>0</v>
      </c>
      <c r="K81" s="379" t="n">
        <v>0</v>
      </c>
      <c r="L81" s="358" t="n">
        <v>8</v>
      </c>
      <c r="M81" s="379" t="n">
        <v>0</v>
      </c>
      <c r="N81" s="379" t="n">
        <v>0</v>
      </c>
      <c r="O81" s="379" t="n">
        <v>0</v>
      </c>
      <c r="P81" s="379" t="n">
        <v>0</v>
      </c>
      <c r="Q81" s="379" t="n">
        <v>0</v>
      </c>
      <c r="R81" s="379" t="n">
        <v>0</v>
      </c>
      <c r="S81" s="379" t="n">
        <v>0</v>
      </c>
      <c r="T81" s="378" t="n">
        <v>1</v>
      </c>
      <c r="U81" s="379" t="n">
        <v>0</v>
      </c>
      <c r="V81" s="379" t="n">
        <v>0</v>
      </c>
      <c r="X81" s="381"/>
      <c r="Y81" s="381"/>
      <c r="Z81" s="381"/>
      <c r="AA81" s="381"/>
      <c r="AB81" s="381"/>
      <c r="AC81" s="381"/>
      <c r="AD81" s="381"/>
      <c r="AE81" s="380"/>
      <c r="AF81" s="381" t="str">
        <f aca="false">IF(J81=0,"",LN(J81))</f>
        <v/>
      </c>
      <c r="AG81" s="381" t="str">
        <f aca="false">IF(K81=0,"",LN(K81))</f>
        <v/>
      </c>
      <c r="AI81" s="381"/>
      <c r="AJ81" s="381"/>
      <c r="AK81" s="381"/>
      <c r="AL81" s="381"/>
      <c r="AM81" s="381"/>
      <c r="AN81" s="381"/>
      <c r="AO81" s="381"/>
      <c r="AP81" s="380"/>
      <c r="AQ81" s="381" t="str">
        <f aca="false">IF(U81=0,"",LN(U81))</f>
        <v/>
      </c>
      <c r="AR81" s="381" t="str">
        <f aca="false">IF(V81=0,"",LN(V81))</f>
        <v/>
      </c>
    </row>
    <row r="82" customFormat="false" ht="12" hidden="false" customHeight="false" outlineLevel="0" collapsed="false">
      <c r="A82" s="358" t="n">
        <v>9</v>
      </c>
      <c r="B82" s="379" t="n">
        <v>0</v>
      </c>
      <c r="C82" s="379" t="n">
        <v>0</v>
      </c>
      <c r="D82" s="379" t="n">
        <v>0</v>
      </c>
      <c r="E82" s="379" t="n">
        <v>0</v>
      </c>
      <c r="F82" s="379" t="n">
        <v>0</v>
      </c>
      <c r="G82" s="379" t="n">
        <v>0</v>
      </c>
      <c r="H82" s="379" t="n">
        <v>0</v>
      </c>
      <c r="I82" s="379" t="n">
        <v>0</v>
      </c>
      <c r="J82" s="378" t="n">
        <v>1</v>
      </c>
      <c r="K82" s="379" t="n">
        <v>0</v>
      </c>
      <c r="L82" s="358" t="n">
        <v>9</v>
      </c>
      <c r="M82" s="379" t="n">
        <v>0</v>
      </c>
      <c r="N82" s="379" t="n">
        <v>0</v>
      </c>
      <c r="O82" s="379" t="n">
        <v>0</v>
      </c>
      <c r="P82" s="379" t="n">
        <v>0</v>
      </c>
      <c r="Q82" s="379" t="n">
        <v>0</v>
      </c>
      <c r="R82" s="379" t="n">
        <v>0</v>
      </c>
      <c r="S82" s="379" t="n">
        <v>0</v>
      </c>
      <c r="T82" s="379" t="n">
        <v>0</v>
      </c>
      <c r="U82" s="378" t="n">
        <v>1</v>
      </c>
      <c r="V82" s="379" t="n">
        <v>0</v>
      </c>
      <c r="X82" s="381"/>
      <c r="Y82" s="381"/>
      <c r="Z82" s="381"/>
      <c r="AA82" s="381"/>
      <c r="AB82" s="381"/>
      <c r="AC82" s="381"/>
      <c r="AD82" s="381"/>
      <c r="AE82" s="381"/>
      <c r="AF82" s="380"/>
      <c r="AG82" s="381" t="str">
        <f aca="false">IF(K82=0,"",LN(K82))</f>
        <v/>
      </c>
      <c r="AI82" s="381"/>
      <c r="AJ82" s="381"/>
      <c r="AK82" s="381"/>
      <c r="AL82" s="381"/>
      <c r="AM82" s="381"/>
      <c r="AN82" s="381"/>
      <c r="AO82" s="381"/>
      <c r="AP82" s="381"/>
      <c r="AQ82" s="380"/>
      <c r="AR82" s="381" t="str">
        <f aca="false">IF(V82=0,"",LN(V82))</f>
        <v/>
      </c>
    </row>
    <row r="83" customFormat="false" ht="12" hidden="false" customHeight="false" outlineLevel="0" collapsed="false">
      <c r="A83" s="358" t="n">
        <v>10</v>
      </c>
      <c r="B83" s="379" t="n">
        <v>0</v>
      </c>
      <c r="C83" s="379" t="n">
        <v>0</v>
      </c>
      <c r="D83" s="379" t="n">
        <v>0</v>
      </c>
      <c r="E83" s="379" t="n">
        <v>0</v>
      </c>
      <c r="F83" s="379" t="n">
        <v>0</v>
      </c>
      <c r="G83" s="379" t="n">
        <v>0</v>
      </c>
      <c r="H83" s="379" t="n">
        <v>0</v>
      </c>
      <c r="I83" s="379" t="n">
        <v>0</v>
      </c>
      <c r="J83" s="379" t="n">
        <v>0</v>
      </c>
      <c r="K83" s="378" t="n">
        <v>1</v>
      </c>
      <c r="L83" s="358" t="n">
        <v>10</v>
      </c>
      <c r="M83" s="379" t="n">
        <v>0</v>
      </c>
      <c r="N83" s="379" t="n">
        <v>0</v>
      </c>
      <c r="O83" s="379" t="n">
        <v>0</v>
      </c>
      <c r="P83" s="379" t="n">
        <v>0</v>
      </c>
      <c r="Q83" s="379" t="n">
        <v>0</v>
      </c>
      <c r="R83" s="379" t="n">
        <v>0</v>
      </c>
      <c r="S83" s="379" t="n">
        <v>0</v>
      </c>
      <c r="T83" s="379" t="n">
        <v>0</v>
      </c>
      <c r="U83" s="379" t="n">
        <v>0</v>
      </c>
      <c r="V83" s="378" t="n">
        <v>1</v>
      </c>
      <c r="X83" s="381"/>
      <c r="Y83" s="381"/>
      <c r="Z83" s="381"/>
      <c r="AA83" s="381"/>
      <c r="AB83" s="381"/>
      <c r="AC83" s="381"/>
      <c r="AD83" s="381"/>
      <c r="AE83" s="381"/>
      <c r="AF83" s="381"/>
      <c r="AG83" s="380"/>
      <c r="AI83" s="381"/>
      <c r="AJ83" s="381"/>
      <c r="AK83" s="381"/>
      <c r="AL83" s="381"/>
      <c r="AM83" s="381"/>
      <c r="AN83" s="381"/>
      <c r="AO83" s="381"/>
      <c r="AP83" s="381"/>
      <c r="AQ83" s="381"/>
      <c r="AR83" s="380"/>
    </row>
    <row r="85" customFormat="false" ht="12.75" hidden="false" customHeight="false" outlineLevel="0" collapsed="false">
      <c r="A85" s="369" t="n">
        <v>12</v>
      </c>
      <c r="B85" s="370" t="str">
        <f aca="true">INDIRECT(ADDRESS(17,2,1,1,"in"&amp;TEXT(A85,"@")))</f>
        <v>Participant 12</v>
      </c>
      <c r="C85" s="370"/>
      <c r="D85" s="370"/>
      <c r="E85" s="370"/>
      <c r="F85" s="370"/>
      <c r="G85" s="370"/>
      <c r="H85" s="371" t="n">
        <f aca="true">INDIRECT(ADDRESS(17,6,1,1,"in"&amp;TEXT(A85,"@")))</f>
        <v>1</v>
      </c>
      <c r="I85" s="372"/>
      <c r="J85" s="373" t="n">
        <f aca="true">INDIRECT(ADDRESS(17,7,1,1,"in"&amp;TEXT(A85,"@")))</f>
        <v>0</v>
      </c>
      <c r="K85" s="373"/>
      <c r="L85" s="369" t="n">
        <v>13</v>
      </c>
      <c r="M85" s="370" t="str">
        <f aca="true">INDIRECT(ADDRESS(17,2,1,1,"in"&amp;TEXT(L85,"@")))</f>
        <v>Participant 13</v>
      </c>
      <c r="N85" s="370"/>
      <c r="O85" s="370"/>
      <c r="P85" s="370"/>
      <c r="Q85" s="370"/>
      <c r="R85" s="370"/>
      <c r="S85" s="371" t="n">
        <f aca="true">INDIRECT(ADDRESS(17,6,1,1,"in"&amp;TEXT(L85,"@")))</f>
        <v>1</v>
      </c>
      <c r="T85" s="372"/>
      <c r="U85" s="373" t="n">
        <f aca="true">INDIRECT(ADDRESS(17,7,1,1,"in"&amp;TEXT(L85,"@")))</f>
        <v>0</v>
      </c>
      <c r="V85" s="373"/>
      <c r="X85" s="370"/>
      <c r="Y85" s="370"/>
      <c r="Z85" s="370"/>
      <c r="AA85" s="370"/>
      <c r="AB85" s="370"/>
      <c r="AC85" s="370"/>
      <c r="AD85" s="375" t="n">
        <f aca="false">IF(A85&gt;$N$4,0,IF(H85=0,1,H85))</f>
        <v>0</v>
      </c>
      <c r="AE85" s="375"/>
      <c r="AF85" s="373"/>
      <c r="AG85" s="373"/>
      <c r="AI85" s="370"/>
      <c r="AJ85" s="370"/>
      <c r="AK85" s="370"/>
      <c r="AL85" s="370"/>
      <c r="AM85" s="370"/>
      <c r="AN85" s="370"/>
      <c r="AO85" s="375" t="n">
        <f aca="false">IF(L85&gt;$N$4,0,IF(S85=0,1,S85))</f>
        <v>0</v>
      </c>
      <c r="AP85" s="375"/>
      <c r="AQ85" s="373"/>
      <c r="AR85" s="373"/>
    </row>
    <row r="86" customFormat="false" ht="12" hidden="false" customHeight="false" outlineLevel="0" collapsed="false">
      <c r="B86" s="376" t="n">
        <v>1</v>
      </c>
      <c r="C86" s="376" t="n">
        <v>2</v>
      </c>
      <c r="D86" s="376" t="n">
        <v>3</v>
      </c>
      <c r="E86" s="376" t="n">
        <v>4</v>
      </c>
      <c r="F86" s="376" t="n">
        <v>5</v>
      </c>
      <c r="G86" s="376" t="n">
        <v>6</v>
      </c>
      <c r="H86" s="376" t="n">
        <v>7</v>
      </c>
      <c r="I86" s="376" t="n">
        <v>8</v>
      </c>
      <c r="J86" s="358" t="n">
        <v>9</v>
      </c>
      <c r="K86" s="358" t="n">
        <v>10</v>
      </c>
      <c r="M86" s="376" t="n">
        <v>1</v>
      </c>
      <c r="N86" s="376" t="n">
        <v>2</v>
      </c>
      <c r="O86" s="376" t="n">
        <v>3</v>
      </c>
      <c r="P86" s="376" t="n">
        <v>4</v>
      </c>
      <c r="Q86" s="376" t="n">
        <v>5</v>
      </c>
      <c r="R86" s="376" t="n">
        <v>6</v>
      </c>
      <c r="S86" s="376" t="n">
        <v>7</v>
      </c>
      <c r="T86" s="376" t="n">
        <v>8</v>
      </c>
      <c r="U86" s="358" t="n">
        <v>9</v>
      </c>
      <c r="V86" s="358" t="n">
        <v>10</v>
      </c>
      <c r="X86" s="376"/>
      <c r="Y86" s="376"/>
      <c r="Z86" s="376"/>
      <c r="AA86" s="376"/>
      <c r="AB86" s="376"/>
      <c r="AC86" s="376"/>
      <c r="AD86" s="376"/>
      <c r="AE86" s="376"/>
      <c r="AI86" s="376"/>
      <c r="AJ86" s="376"/>
      <c r="AK86" s="376"/>
      <c r="AL86" s="376"/>
      <c r="AM86" s="376"/>
      <c r="AN86" s="376"/>
      <c r="AO86" s="376"/>
      <c r="AP86" s="376"/>
    </row>
    <row r="87" customFormat="false" ht="12" hidden="false" customHeight="false" outlineLevel="0" collapsed="false">
      <c r="A87" s="358" t="n">
        <v>1</v>
      </c>
      <c r="B87" s="378" t="n">
        <f aca="false" t="array" ref="B87:K96">Matrix12</f>
        <v>1</v>
      </c>
      <c r="C87" s="379" t="n">
        <v>1</v>
      </c>
      <c r="D87" s="379" t="n">
        <v>0</v>
      </c>
      <c r="E87" s="379" t="n">
        <v>0</v>
      </c>
      <c r="F87" s="379" t="n">
        <v>0</v>
      </c>
      <c r="G87" s="379" t="n">
        <v>0</v>
      </c>
      <c r="H87" s="379" t="n">
        <v>0</v>
      </c>
      <c r="I87" s="379" t="n">
        <v>0</v>
      </c>
      <c r="J87" s="379" t="n">
        <v>0</v>
      </c>
      <c r="K87" s="379" t="n">
        <v>0</v>
      </c>
      <c r="L87" s="358" t="n">
        <v>1</v>
      </c>
      <c r="M87" s="378" t="n">
        <f aca="false" t="array" ref="M87:V96">Matrix13</f>
        <v>1</v>
      </c>
      <c r="N87" s="379" t="n">
        <v>1</v>
      </c>
      <c r="O87" s="379" t="n">
        <v>0</v>
      </c>
      <c r="P87" s="379" t="n">
        <v>0</v>
      </c>
      <c r="Q87" s="379" t="n">
        <v>0</v>
      </c>
      <c r="R87" s="379" t="n">
        <v>0</v>
      </c>
      <c r="S87" s="379" t="n">
        <v>0</v>
      </c>
      <c r="T87" s="379" t="n">
        <v>0</v>
      </c>
      <c r="U87" s="379" t="n">
        <v>0</v>
      </c>
      <c r="V87" s="379" t="n">
        <v>0</v>
      </c>
      <c r="X87" s="380"/>
      <c r="Y87" s="381" t="n">
        <f aca="false">IF(C87=0,"",LN(C87))</f>
        <v>0</v>
      </c>
      <c r="Z87" s="381" t="str">
        <f aca="false">IF(D87=0,"",LN(D87))</f>
        <v/>
      </c>
      <c r="AA87" s="381" t="str">
        <f aca="false">IF(E87=0,"",LN(E87))</f>
        <v/>
      </c>
      <c r="AB87" s="381" t="str">
        <f aca="false">IF(F87=0,"",LN(F87))</f>
        <v/>
      </c>
      <c r="AC87" s="381" t="str">
        <f aca="false">IF(G87=0,"",LN(G87))</f>
        <v/>
      </c>
      <c r="AD87" s="381" t="str">
        <f aca="false">IF(H87=0,"",LN(H87))</f>
        <v/>
      </c>
      <c r="AE87" s="381" t="str">
        <f aca="false">IF(I87=0,"",LN(I87))</f>
        <v/>
      </c>
      <c r="AF87" s="381" t="str">
        <f aca="false">IF(J87=0,"",LN(J87))</f>
        <v/>
      </c>
      <c r="AG87" s="381" t="str">
        <f aca="false">IF(K87=0,"",LN(K87))</f>
        <v/>
      </c>
      <c r="AI87" s="380"/>
      <c r="AJ87" s="381" t="n">
        <f aca="false">IF(N87=0,"",LN(N87))</f>
        <v>0</v>
      </c>
      <c r="AK87" s="381" t="str">
        <f aca="false">IF(O87=0,"",LN(O87))</f>
        <v/>
      </c>
      <c r="AL87" s="381" t="str">
        <f aca="false">IF(P87=0,"",LN(P87))</f>
        <v/>
      </c>
      <c r="AM87" s="381" t="str">
        <f aca="false">IF(Q87=0,"",LN(Q87))</f>
        <v/>
      </c>
      <c r="AN87" s="381" t="str">
        <f aca="false">IF(R87=0,"",LN(R87))</f>
        <v/>
      </c>
      <c r="AO87" s="381" t="str">
        <f aca="false">IF(S87=0,"",LN(S87))</f>
        <v/>
      </c>
      <c r="AP87" s="381" t="str">
        <f aca="false">IF(T87=0,"",LN(T87))</f>
        <v/>
      </c>
      <c r="AQ87" s="381" t="str">
        <f aca="false">IF(U87=0,"",LN(U87))</f>
        <v/>
      </c>
      <c r="AR87" s="381" t="str">
        <f aca="false">IF(V87=0,"",LN(V87))</f>
        <v/>
      </c>
    </row>
    <row r="88" customFormat="false" ht="12" hidden="false" customHeight="false" outlineLevel="0" collapsed="false">
      <c r="A88" s="358" t="n">
        <v>2</v>
      </c>
      <c r="B88" s="379" t="n">
        <v>1</v>
      </c>
      <c r="C88" s="378" t="n">
        <v>1</v>
      </c>
      <c r="D88" s="379" t="n">
        <v>0</v>
      </c>
      <c r="E88" s="379" t="n">
        <v>0</v>
      </c>
      <c r="F88" s="379" t="n">
        <v>0</v>
      </c>
      <c r="G88" s="379" t="n">
        <v>0</v>
      </c>
      <c r="H88" s="379" t="n">
        <v>0</v>
      </c>
      <c r="I88" s="379" t="n">
        <v>0</v>
      </c>
      <c r="J88" s="379" t="n">
        <v>0</v>
      </c>
      <c r="K88" s="379" t="n">
        <v>0</v>
      </c>
      <c r="L88" s="358" t="n">
        <v>2</v>
      </c>
      <c r="M88" s="379" t="n">
        <v>1</v>
      </c>
      <c r="N88" s="378" t="n">
        <v>1</v>
      </c>
      <c r="O88" s="379" t="n">
        <v>0</v>
      </c>
      <c r="P88" s="379" t="n">
        <v>0</v>
      </c>
      <c r="Q88" s="379" t="n">
        <v>0</v>
      </c>
      <c r="R88" s="379" t="n">
        <v>0</v>
      </c>
      <c r="S88" s="379" t="n">
        <v>0</v>
      </c>
      <c r="T88" s="379" t="n">
        <v>0</v>
      </c>
      <c r="U88" s="379" t="n">
        <v>0</v>
      </c>
      <c r="V88" s="379" t="n">
        <v>0</v>
      </c>
      <c r="X88" s="381"/>
      <c r="Y88" s="380"/>
      <c r="Z88" s="381" t="str">
        <f aca="false">IF(D88=0,"",LN(D88))</f>
        <v/>
      </c>
      <c r="AA88" s="381" t="str">
        <f aca="false">IF(E88=0,"",LN(E88))</f>
        <v/>
      </c>
      <c r="AB88" s="381" t="str">
        <f aca="false">IF(F88=0,"",LN(F88))</f>
        <v/>
      </c>
      <c r="AC88" s="381" t="str">
        <f aca="false">IF(G88=0,"",LN(G88))</f>
        <v/>
      </c>
      <c r="AD88" s="381" t="str">
        <f aca="false">IF(H88=0,"",LN(H88))</f>
        <v/>
      </c>
      <c r="AE88" s="381" t="str">
        <f aca="false">IF(I88=0,"",LN(I88))</f>
        <v/>
      </c>
      <c r="AF88" s="381" t="str">
        <f aca="false">IF(J88=0,"",LN(J88))</f>
        <v/>
      </c>
      <c r="AG88" s="381" t="str">
        <f aca="false">IF(K88=0,"",LN(K88))</f>
        <v/>
      </c>
      <c r="AI88" s="381"/>
      <c r="AJ88" s="380"/>
      <c r="AK88" s="381" t="str">
        <f aca="false">IF(O88=0,"",LN(O88))</f>
        <v/>
      </c>
      <c r="AL88" s="381" t="str">
        <f aca="false">IF(P88=0,"",LN(P88))</f>
        <v/>
      </c>
      <c r="AM88" s="381" t="str">
        <f aca="false">IF(Q88=0,"",LN(Q88))</f>
        <v/>
      </c>
      <c r="AN88" s="381" t="str">
        <f aca="false">IF(R88=0,"",LN(R88))</f>
        <v/>
      </c>
      <c r="AO88" s="381" t="str">
        <f aca="false">IF(S88=0,"",LN(S88))</f>
        <v/>
      </c>
      <c r="AP88" s="381" t="str">
        <f aca="false">IF(T88=0,"",LN(T88))</f>
        <v/>
      </c>
      <c r="AQ88" s="381" t="str">
        <f aca="false">IF(U88=0,"",LN(U88))</f>
        <v/>
      </c>
      <c r="AR88" s="381" t="str">
        <f aca="false">IF(V88=0,"",LN(V88))</f>
        <v/>
      </c>
    </row>
    <row r="89" customFormat="false" ht="12" hidden="false" customHeight="false" outlineLevel="0" collapsed="false">
      <c r="A89" s="358" t="n">
        <v>3</v>
      </c>
      <c r="B89" s="379" t="n">
        <v>0</v>
      </c>
      <c r="C89" s="379" t="n">
        <v>0</v>
      </c>
      <c r="D89" s="378" t="n">
        <v>1</v>
      </c>
      <c r="E89" s="379" t="n">
        <v>0</v>
      </c>
      <c r="F89" s="379" t="n">
        <v>0</v>
      </c>
      <c r="G89" s="379" t="n">
        <v>0</v>
      </c>
      <c r="H89" s="379" t="n">
        <v>0</v>
      </c>
      <c r="I89" s="379" t="n">
        <v>0</v>
      </c>
      <c r="J89" s="379" t="n">
        <v>0</v>
      </c>
      <c r="K89" s="379" t="n">
        <v>0</v>
      </c>
      <c r="L89" s="358" t="n">
        <v>3</v>
      </c>
      <c r="M89" s="379" t="n">
        <v>0</v>
      </c>
      <c r="N89" s="379" t="n">
        <v>0</v>
      </c>
      <c r="O89" s="378" t="n">
        <v>1</v>
      </c>
      <c r="P89" s="379" t="n">
        <v>0</v>
      </c>
      <c r="Q89" s="379" t="n">
        <v>0</v>
      </c>
      <c r="R89" s="379" t="n">
        <v>0</v>
      </c>
      <c r="S89" s="379" t="n">
        <v>0</v>
      </c>
      <c r="T89" s="379" t="n">
        <v>0</v>
      </c>
      <c r="U89" s="379" t="n">
        <v>0</v>
      </c>
      <c r="V89" s="379" t="n">
        <v>0</v>
      </c>
      <c r="X89" s="381"/>
      <c r="Y89" s="381"/>
      <c r="Z89" s="380"/>
      <c r="AA89" s="381" t="str">
        <f aca="false">IF(E89=0,"",LN(E89))</f>
        <v/>
      </c>
      <c r="AB89" s="381" t="str">
        <f aca="false">IF(F89=0,"",LN(F89))</f>
        <v/>
      </c>
      <c r="AC89" s="381" t="str">
        <f aca="false">IF(G89=0,"",LN(G89))</f>
        <v/>
      </c>
      <c r="AD89" s="381" t="str">
        <f aca="false">IF(H89=0,"",LN(H89))</f>
        <v/>
      </c>
      <c r="AE89" s="381" t="str">
        <f aca="false">IF(I89=0,"",LN(I89))</f>
        <v/>
      </c>
      <c r="AF89" s="381" t="str">
        <f aca="false">IF(J89=0,"",LN(J89))</f>
        <v/>
      </c>
      <c r="AG89" s="381" t="str">
        <f aca="false">IF(K89=0,"",LN(K89))</f>
        <v/>
      </c>
      <c r="AI89" s="381"/>
      <c r="AJ89" s="381"/>
      <c r="AK89" s="380"/>
      <c r="AL89" s="381" t="str">
        <f aca="false">IF(P89=0,"",LN(P89))</f>
        <v/>
      </c>
      <c r="AM89" s="381" t="str">
        <f aca="false">IF(Q89=0,"",LN(Q89))</f>
        <v/>
      </c>
      <c r="AN89" s="381" t="str">
        <f aca="false">IF(R89=0,"",LN(R89))</f>
        <v/>
      </c>
      <c r="AO89" s="381" t="str">
        <f aca="false">IF(S89=0,"",LN(S89))</f>
        <v/>
      </c>
      <c r="AP89" s="381" t="str">
        <f aca="false">IF(T89=0,"",LN(T89))</f>
        <v/>
      </c>
      <c r="AQ89" s="381" t="str">
        <f aca="false">IF(U89=0,"",LN(U89))</f>
        <v/>
      </c>
      <c r="AR89" s="381" t="str">
        <f aca="false">IF(V89=0,"",LN(V89))</f>
        <v/>
      </c>
    </row>
    <row r="90" customFormat="false" ht="12" hidden="false" customHeight="false" outlineLevel="0" collapsed="false">
      <c r="A90" s="358" t="n">
        <v>4</v>
      </c>
      <c r="B90" s="379" t="n">
        <v>0</v>
      </c>
      <c r="C90" s="379" t="n">
        <v>0</v>
      </c>
      <c r="D90" s="379" t="n">
        <v>0</v>
      </c>
      <c r="E90" s="378" t="n">
        <v>1</v>
      </c>
      <c r="F90" s="379" t="n">
        <v>0</v>
      </c>
      <c r="G90" s="379" t="n">
        <v>0</v>
      </c>
      <c r="H90" s="379" t="n">
        <v>0</v>
      </c>
      <c r="I90" s="379" t="n">
        <v>0</v>
      </c>
      <c r="J90" s="379" t="n">
        <v>0</v>
      </c>
      <c r="K90" s="379" t="n">
        <v>0</v>
      </c>
      <c r="L90" s="358" t="n">
        <v>4</v>
      </c>
      <c r="M90" s="379" t="n">
        <v>0</v>
      </c>
      <c r="N90" s="379" t="n">
        <v>0</v>
      </c>
      <c r="O90" s="379" t="n">
        <v>0</v>
      </c>
      <c r="P90" s="378" t="n">
        <v>1</v>
      </c>
      <c r="Q90" s="379" t="n">
        <v>0</v>
      </c>
      <c r="R90" s="379" t="n">
        <v>0</v>
      </c>
      <c r="S90" s="379" t="n">
        <v>0</v>
      </c>
      <c r="T90" s="379" t="n">
        <v>0</v>
      </c>
      <c r="U90" s="379" t="n">
        <v>0</v>
      </c>
      <c r="V90" s="379" t="n">
        <v>0</v>
      </c>
      <c r="X90" s="381"/>
      <c r="Y90" s="381"/>
      <c r="Z90" s="381"/>
      <c r="AA90" s="380"/>
      <c r="AB90" s="381" t="str">
        <f aca="false">IF(F90=0,"",LN(F90))</f>
        <v/>
      </c>
      <c r="AC90" s="381" t="str">
        <f aca="false">IF(G90=0,"",LN(G90))</f>
        <v/>
      </c>
      <c r="AD90" s="381" t="str">
        <f aca="false">IF(H90=0,"",LN(H90))</f>
        <v/>
      </c>
      <c r="AE90" s="381" t="str">
        <f aca="false">IF(I90=0,"",LN(I90))</f>
        <v/>
      </c>
      <c r="AF90" s="381" t="str">
        <f aca="false">IF(J90=0,"",LN(J90))</f>
        <v/>
      </c>
      <c r="AG90" s="381" t="str">
        <f aca="false">IF(K90=0,"",LN(K90))</f>
        <v/>
      </c>
      <c r="AI90" s="381"/>
      <c r="AJ90" s="381"/>
      <c r="AK90" s="381"/>
      <c r="AL90" s="380"/>
      <c r="AM90" s="381" t="str">
        <f aca="false">IF(Q90=0,"",LN(Q90))</f>
        <v/>
      </c>
      <c r="AN90" s="381" t="str">
        <f aca="false">IF(R90=0,"",LN(R90))</f>
        <v/>
      </c>
      <c r="AO90" s="381" t="str">
        <f aca="false">IF(S90=0,"",LN(S90))</f>
        <v/>
      </c>
      <c r="AP90" s="381" t="str">
        <f aca="false">IF(T90=0,"",LN(T90))</f>
        <v/>
      </c>
      <c r="AQ90" s="381" t="str">
        <f aca="false">IF(U90=0,"",LN(U90))</f>
        <v/>
      </c>
      <c r="AR90" s="381" t="str">
        <f aca="false">IF(V90=0,"",LN(V90))</f>
        <v/>
      </c>
    </row>
    <row r="91" customFormat="false" ht="12" hidden="false" customHeight="false" outlineLevel="0" collapsed="false">
      <c r="A91" s="358" t="n">
        <v>5</v>
      </c>
      <c r="B91" s="379" t="n">
        <v>0</v>
      </c>
      <c r="C91" s="379" t="n">
        <v>0</v>
      </c>
      <c r="D91" s="379" t="n">
        <v>0</v>
      </c>
      <c r="E91" s="379" t="n">
        <v>0</v>
      </c>
      <c r="F91" s="378" t="n">
        <v>1</v>
      </c>
      <c r="G91" s="379" t="n">
        <v>0</v>
      </c>
      <c r="H91" s="379" t="n">
        <v>0</v>
      </c>
      <c r="I91" s="379" t="n">
        <v>0</v>
      </c>
      <c r="J91" s="379" t="n">
        <v>0</v>
      </c>
      <c r="K91" s="379" t="n">
        <v>0</v>
      </c>
      <c r="L91" s="358" t="n">
        <v>5</v>
      </c>
      <c r="M91" s="379" t="n">
        <v>0</v>
      </c>
      <c r="N91" s="379" t="n">
        <v>0</v>
      </c>
      <c r="O91" s="379" t="n">
        <v>0</v>
      </c>
      <c r="P91" s="379" t="n">
        <v>0</v>
      </c>
      <c r="Q91" s="378" t="n">
        <v>1</v>
      </c>
      <c r="R91" s="379" t="n">
        <v>0</v>
      </c>
      <c r="S91" s="379" t="n">
        <v>0</v>
      </c>
      <c r="T91" s="379" t="n">
        <v>0</v>
      </c>
      <c r="U91" s="379" t="n">
        <v>0</v>
      </c>
      <c r="V91" s="379" t="n">
        <v>0</v>
      </c>
      <c r="X91" s="381"/>
      <c r="Y91" s="381"/>
      <c r="Z91" s="381"/>
      <c r="AA91" s="381"/>
      <c r="AB91" s="380"/>
      <c r="AC91" s="381" t="str">
        <f aca="false">IF(G91=0,"",LN(G91))</f>
        <v/>
      </c>
      <c r="AD91" s="381" t="str">
        <f aca="false">IF(H91=0,"",LN(H91))</f>
        <v/>
      </c>
      <c r="AE91" s="381" t="str">
        <f aca="false">IF(I91=0,"",LN(I91))</f>
        <v/>
      </c>
      <c r="AF91" s="381" t="str">
        <f aca="false">IF(J91=0,"",LN(J91))</f>
        <v/>
      </c>
      <c r="AG91" s="381" t="str">
        <f aca="false">IF(K91=0,"",LN(K91))</f>
        <v/>
      </c>
      <c r="AI91" s="381"/>
      <c r="AJ91" s="381"/>
      <c r="AK91" s="381"/>
      <c r="AL91" s="381"/>
      <c r="AM91" s="380"/>
      <c r="AN91" s="381" t="str">
        <f aca="false">IF(R91=0,"",LN(R91))</f>
        <v/>
      </c>
      <c r="AO91" s="381" t="str">
        <f aca="false">IF(S91=0,"",LN(S91))</f>
        <v/>
      </c>
      <c r="AP91" s="381" t="str">
        <f aca="false">IF(T91=0,"",LN(T91))</f>
        <v/>
      </c>
      <c r="AQ91" s="381" t="str">
        <f aca="false">IF(U91=0,"",LN(U91))</f>
        <v/>
      </c>
      <c r="AR91" s="381" t="str">
        <f aca="false">IF(V91=0,"",LN(V91))</f>
        <v/>
      </c>
    </row>
    <row r="92" customFormat="false" ht="12" hidden="false" customHeight="false" outlineLevel="0" collapsed="false">
      <c r="A92" s="358" t="n">
        <v>6</v>
      </c>
      <c r="B92" s="379" t="n">
        <v>0</v>
      </c>
      <c r="C92" s="379" t="n">
        <v>0</v>
      </c>
      <c r="D92" s="379" t="n">
        <v>0</v>
      </c>
      <c r="E92" s="379" t="n">
        <v>0</v>
      </c>
      <c r="F92" s="379" t="n">
        <v>0</v>
      </c>
      <c r="G92" s="378" t="n">
        <v>1</v>
      </c>
      <c r="H92" s="379" t="n">
        <v>0</v>
      </c>
      <c r="I92" s="379" t="n">
        <v>0</v>
      </c>
      <c r="J92" s="379" t="n">
        <v>0</v>
      </c>
      <c r="K92" s="379" t="n">
        <v>0</v>
      </c>
      <c r="L92" s="358" t="n">
        <v>6</v>
      </c>
      <c r="M92" s="379" t="n">
        <v>0</v>
      </c>
      <c r="N92" s="379" t="n">
        <v>0</v>
      </c>
      <c r="O92" s="379" t="n">
        <v>0</v>
      </c>
      <c r="P92" s="379" t="n">
        <v>0</v>
      </c>
      <c r="Q92" s="379" t="n">
        <v>0</v>
      </c>
      <c r="R92" s="378" t="n">
        <v>1</v>
      </c>
      <c r="S92" s="379" t="n">
        <v>0</v>
      </c>
      <c r="T92" s="379" t="n">
        <v>0</v>
      </c>
      <c r="U92" s="379" t="n">
        <v>0</v>
      </c>
      <c r="V92" s="379" t="n">
        <v>0</v>
      </c>
      <c r="X92" s="381"/>
      <c r="Y92" s="381"/>
      <c r="Z92" s="381"/>
      <c r="AA92" s="381"/>
      <c r="AB92" s="381"/>
      <c r="AC92" s="380"/>
      <c r="AD92" s="381" t="str">
        <f aca="false">IF(H92=0,"",LN(H92))</f>
        <v/>
      </c>
      <c r="AE92" s="381" t="str">
        <f aca="false">IF(I92=0,"",LN(I92))</f>
        <v/>
      </c>
      <c r="AF92" s="381" t="str">
        <f aca="false">IF(J92=0,"",LN(J92))</f>
        <v/>
      </c>
      <c r="AG92" s="381" t="str">
        <f aca="false">IF(K92=0,"",LN(K92))</f>
        <v/>
      </c>
      <c r="AI92" s="381"/>
      <c r="AJ92" s="381"/>
      <c r="AK92" s="381"/>
      <c r="AL92" s="381"/>
      <c r="AM92" s="381"/>
      <c r="AN92" s="380"/>
      <c r="AO92" s="381" t="str">
        <f aca="false">IF(S92=0,"",LN(S92))</f>
        <v/>
      </c>
      <c r="AP92" s="381" t="str">
        <f aca="false">IF(T92=0,"",LN(T92))</f>
        <v/>
      </c>
      <c r="AQ92" s="381" t="str">
        <f aca="false">IF(U92=0,"",LN(U92))</f>
        <v/>
      </c>
      <c r="AR92" s="381" t="str">
        <f aca="false">IF(V92=0,"",LN(V92))</f>
        <v/>
      </c>
    </row>
    <row r="93" customFormat="false" ht="12" hidden="false" customHeight="false" outlineLevel="0" collapsed="false">
      <c r="A93" s="358" t="n">
        <v>7</v>
      </c>
      <c r="B93" s="379" t="n">
        <v>0</v>
      </c>
      <c r="C93" s="379" t="n">
        <v>0</v>
      </c>
      <c r="D93" s="379" t="n">
        <v>0</v>
      </c>
      <c r="E93" s="379" t="n">
        <v>0</v>
      </c>
      <c r="F93" s="379" t="n">
        <v>0</v>
      </c>
      <c r="G93" s="379" t="n">
        <v>0</v>
      </c>
      <c r="H93" s="378" t="n">
        <v>1</v>
      </c>
      <c r="I93" s="379" t="n">
        <v>0</v>
      </c>
      <c r="J93" s="379" t="n">
        <v>0</v>
      </c>
      <c r="K93" s="379" t="n">
        <v>0</v>
      </c>
      <c r="L93" s="358" t="n">
        <v>7</v>
      </c>
      <c r="M93" s="379" t="n">
        <v>0</v>
      </c>
      <c r="N93" s="379" t="n">
        <v>0</v>
      </c>
      <c r="O93" s="379" t="n">
        <v>0</v>
      </c>
      <c r="P93" s="379" t="n">
        <v>0</v>
      </c>
      <c r="Q93" s="379" t="n">
        <v>0</v>
      </c>
      <c r="R93" s="379" t="n">
        <v>0</v>
      </c>
      <c r="S93" s="378" t="n">
        <v>1</v>
      </c>
      <c r="T93" s="379" t="n">
        <v>0</v>
      </c>
      <c r="U93" s="379" t="n">
        <v>0</v>
      </c>
      <c r="V93" s="379" t="n">
        <v>0</v>
      </c>
      <c r="X93" s="381"/>
      <c r="Y93" s="381"/>
      <c r="Z93" s="381"/>
      <c r="AA93" s="381"/>
      <c r="AB93" s="381"/>
      <c r="AC93" s="381"/>
      <c r="AD93" s="380"/>
      <c r="AE93" s="381" t="str">
        <f aca="false">IF(I93=0,"",LN(I93))</f>
        <v/>
      </c>
      <c r="AF93" s="381" t="str">
        <f aca="false">IF(J93=0,"",LN(J93))</f>
        <v/>
      </c>
      <c r="AG93" s="381" t="str">
        <f aca="false">IF(K93=0,"",LN(K93))</f>
        <v/>
      </c>
      <c r="AI93" s="381"/>
      <c r="AJ93" s="381"/>
      <c r="AK93" s="381"/>
      <c r="AL93" s="381"/>
      <c r="AM93" s="381"/>
      <c r="AN93" s="381"/>
      <c r="AO93" s="380"/>
      <c r="AP93" s="381" t="str">
        <f aca="false">IF(T93=0,"",LN(T93))</f>
        <v/>
      </c>
      <c r="AQ93" s="381" t="str">
        <f aca="false">IF(U93=0,"",LN(U93))</f>
        <v/>
      </c>
      <c r="AR93" s="381" t="str">
        <f aca="false">IF(V93=0,"",LN(V93))</f>
        <v/>
      </c>
    </row>
    <row r="94" customFormat="false" ht="12" hidden="false" customHeight="false" outlineLevel="0" collapsed="false">
      <c r="A94" s="358" t="n">
        <v>8</v>
      </c>
      <c r="B94" s="379" t="n">
        <v>0</v>
      </c>
      <c r="C94" s="379" t="n">
        <v>0</v>
      </c>
      <c r="D94" s="379" t="n">
        <v>0</v>
      </c>
      <c r="E94" s="379" t="n">
        <v>0</v>
      </c>
      <c r="F94" s="379" t="n">
        <v>0</v>
      </c>
      <c r="G94" s="379" t="n">
        <v>0</v>
      </c>
      <c r="H94" s="379" t="n">
        <v>0</v>
      </c>
      <c r="I94" s="378" t="n">
        <v>1</v>
      </c>
      <c r="J94" s="379" t="n">
        <v>0</v>
      </c>
      <c r="K94" s="379" t="n">
        <v>0</v>
      </c>
      <c r="L94" s="358" t="n">
        <v>8</v>
      </c>
      <c r="M94" s="379" t="n">
        <v>0</v>
      </c>
      <c r="N94" s="379" t="n">
        <v>0</v>
      </c>
      <c r="O94" s="379" t="n">
        <v>0</v>
      </c>
      <c r="P94" s="379" t="n">
        <v>0</v>
      </c>
      <c r="Q94" s="379" t="n">
        <v>0</v>
      </c>
      <c r="R94" s="379" t="n">
        <v>0</v>
      </c>
      <c r="S94" s="379" t="n">
        <v>0</v>
      </c>
      <c r="T94" s="378" t="n">
        <v>1</v>
      </c>
      <c r="U94" s="379" t="n">
        <v>0</v>
      </c>
      <c r="V94" s="379" t="n">
        <v>0</v>
      </c>
      <c r="X94" s="381"/>
      <c r="Y94" s="381"/>
      <c r="Z94" s="381"/>
      <c r="AA94" s="381"/>
      <c r="AB94" s="381"/>
      <c r="AC94" s="381"/>
      <c r="AD94" s="381"/>
      <c r="AE94" s="380"/>
      <c r="AF94" s="381" t="str">
        <f aca="false">IF(J94=0,"",LN(J94))</f>
        <v/>
      </c>
      <c r="AG94" s="381" t="str">
        <f aca="false">IF(K94=0,"",LN(K94))</f>
        <v/>
      </c>
      <c r="AI94" s="381"/>
      <c r="AJ94" s="381"/>
      <c r="AK94" s="381"/>
      <c r="AL94" s="381"/>
      <c r="AM94" s="381"/>
      <c r="AN94" s="381"/>
      <c r="AO94" s="381"/>
      <c r="AP94" s="380"/>
      <c r="AQ94" s="381" t="str">
        <f aca="false">IF(U94=0,"",LN(U94))</f>
        <v/>
      </c>
      <c r="AR94" s="381" t="str">
        <f aca="false">IF(V94=0,"",LN(V94))</f>
        <v/>
      </c>
    </row>
    <row r="95" customFormat="false" ht="12" hidden="false" customHeight="false" outlineLevel="0" collapsed="false">
      <c r="A95" s="358" t="n">
        <v>9</v>
      </c>
      <c r="B95" s="379" t="n">
        <v>0</v>
      </c>
      <c r="C95" s="379" t="n">
        <v>0</v>
      </c>
      <c r="D95" s="379" t="n">
        <v>0</v>
      </c>
      <c r="E95" s="379" t="n">
        <v>0</v>
      </c>
      <c r="F95" s="379" t="n">
        <v>0</v>
      </c>
      <c r="G95" s="379" t="n">
        <v>0</v>
      </c>
      <c r="H95" s="379" t="n">
        <v>0</v>
      </c>
      <c r="I95" s="379" t="n">
        <v>0</v>
      </c>
      <c r="J95" s="378" t="n">
        <v>1</v>
      </c>
      <c r="K95" s="379" t="n">
        <v>0</v>
      </c>
      <c r="L95" s="358" t="n">
        <v>9</v>
      </c>
      <c r="M95" s="379" t="n">
        <v>0</v>
      </c>
      <c r="N95" s="379" t="n">
        <v>0</v>
      </c>
      <c r="O95" s="379" t="n">
        <v>0</v>
      </c>
      <c r="P95" s="379" t="n">
        <v>0</v>
      </c>
      <c r="Q95" s="379" t="n">
        <v>0</v>
      </c>
      <c r="R95" s="379" t="n">
        <v>0</v>
      </c>
      <c r="S95" s="379" t="n">
        <v>0</v>
      </c>
      <c r="T95" s="379" t="n">
        <v>0</v>
      </c>
      <c r="U95" s="378" t="n">
        <v>1</v>
      </c>
      <c r="V95" s="379" t="n">
        <v>0</v>
      </c>
      <c r="X95" s="381"/>
      <c r="Y95" s="381"/>
      <c r="Z95" s="381"/>
      <c r="AA95" s="381"/>
      <c r="AB95" s="381"/>
      <c r="AC95" s="381"/>
      <c r="AD95" s="381"/>
      <c r="AE95" s="381"/>
      <c r="AF95" s="380"/>
      <c r="AG95" s="381" t="str">
        <f aca="false">IF(K95=0,"",LN(K95))</f>
        <v/>
      </c>
      <c r="AI95" s="381"/>
      <c r="AJ95" s="381"/>
      <c r="AK95" s="381"/>
      <c r="AL95" s="381"/>
      <c r="AM95" s="381"/>
      <c r="AN95" s="381"/>
      <c r="AO95" s="381"/>
      <c r="AP95" s="381"/>
      <c r="AQ95" s="380"/>
      <c r="AR95" s="381" t="str">
        <f aca="false">IF(V95=0,"",LN(V95))</f>
        <v/>
      </c>
    </row>
    <row r="96" customFormat="false" ht="12" hidden="false" customHeight="false" outlineLevel="0" collapsed="false">
      <c r="A96" s="358" t="n">
        <v>10</v>
      </c>
      <c r="B96" s="379" t="n">
        <v>0</v>
      </c>
      <c r="C96" s="379" t="n">
        <v>0</v>
      </c>
      <c r="D96" s="379" t="n">
        <v>0</v>
      </c>
      <c r="E96" s="379" t="n">
        <v>0</v>
      </c>
      <c r="F96" s="379" t="n">
        <v>0</v>
      </c>
      <c r="G96" s="379" t="n">
        <v>0</v>
      </c>
      <c r="H96" s="379" t="n">
        <v>0</v>
      </c>
      <c r="I96" s="379" t="n">
        <v>0</v>
      </c>
      <c r="J96" s="379" t="n">
        <v>0</v>
      </c>
      <c r="K96" s="378" t="n">
        <v>1</v>
      </c>
      <c r="L96" s="358" t="n">
        <v>10</v>
      </c>
      <c r="M96" s="379" t="n">
        <v>0</v>
      </c>
      <c r="N96" s="379" t="n">
        <v>0</v>
      </c>
      <c r="O96" s="379" t="n">
        <v>0</v>
      </c>
      <c r="P96" s="379" t="n">
        <v>0</v>
      </c>
      <c r="Q96" s="379" t="n">
        <v>0</v>
      </c>
      <c r="R96" s="379" t="n">
        <v>0</v>
      </c>
      <c r="S96" s="379" t="n">
        <v>0</v>
      </c>
      <c r="T96" s="379" t="n">
        <v>0</v>
      </c>
      <c r="U96" s="379" t="n">
        <v>0</v>
      </c>
      <c r="V96" s="378" t="n">
        <v>1</v>
      </c>
      <c r="X96" s="381"/>
      <c r="Y96" s="381"/>
      <c r="Z96" s="381"/>
      <c r="AA96" s="381"/>
      <c r="AB96" s="381"/>
      <c r="AC96" s="381"/>
      <c r="AD96" s="381"/>
      <c r="AE96" s="381"/>
      <c r="AF96" s="381"/>
      <c r="AG96" s="380"/>
      <c r="AI96" s="381"/>
      <c r="AJ96" s="381"/>
      <c r="AK96" s="381"/>
      <c r="AL96" s="381"/>
      <c r="AM96" s="381"/>
      <c r="AN96" s="381"/>
      <c r="AO96" s="381"/>
      <c r="AP96" s="381"/>
      <c r="AQ96" s="381"/>
      <c r="AR96" s="380"/>
    </row>
    <row r="98" customFormat="false" ht="12.75" hidden="false" customHeight="false" outlineLevel="0" collapsed="false">
      <c r="A98" s="369" t="n">
        <v>14</v>
      </c>
      <c r="B98" s="370" t="str">
        <f aca="true">INDIRECT(ADDRESS(17,2,1,1,"in"&amp;TEXT(A98,"@")))</f>
        <v>Participant 14</v>
      </c>
      <c r="C98" s="370"/>
      <c r="D98" s="370"/>
      <c r="E98" s="370"/>
      <c r="F98" s="370"/>
      <c r="G98" s="370"/>
      <c r="H98" s="371" t="n">
        <f aca="true">INDIRECT(ADDRESS(17,6,1,1,"in"&amp;TEXT(A98,"@")))</f>
        <v>1</v>
      </c>
      <c r="I98" s="372"/>
      <c r="J98" s="373" t="n">
        <f aca="true">INDIRECT(ADDRESS(17,7,1,1,"in"&amp;TEXT(A98,"@")))</f>
        <v>0</v>
      </c>
      <c r="K98" s="373"/>
      <c r="L98" s="369" t="n">
        <v>15</v>
      </c>
      <c r="M98" s="370" t="str">
        <f aca="true">INDIRECT(ADDRESS(17,2,1,1,"in"&amp;TEXT(L98,"@")))</f>
        <v>Participant 15</v>
      </c>
      <c r="N98" s="370"/>
      <c r="O98" s="370"/>
      <c r="P98" s="370"/>
      <c r="Q98" s="370"/>
      <c r="R98" s="370"/>
      <c r="S98" s="371" t="n">
        <f aca="true">INDIRECT(ADDRESS(17,6,1,1,"in"&amp;TEXT(L98,"@")))</f>
        <v>1</v>
      </c>
      <c r="T98" s="372"/>
      <c r="U98" s="373" t="n">
        <f aca="true">INDIRECT(ADDRESS(17,7,1,1,"in"&amp;TEXT(L98,"@")))</f>
        <v>0</v>
      </c>
      <c r="V98" s="373"/>
      <c r="X98" s="370"/>
      <c r="Y98" s="370"/>
      <c r="Z98" s="370"/>
      <c r="AA98" s="370"/>
      <c r="AB98" s="370"/>
      <c r="AC98" s="370"/>
      <c r="AD98" s="375" t="n">
        <f aca="false">IF(A98&gt;$N$4,0,IF(H98=0,1,H98))</f>
        <v>0</v>
      </c>
      <c r="AE98" s="375"/>
      <c r="AF98" s="373"/>
      <c r="AG98" s="373"/>
      <c r="AI98" s="370"/>
      <c r="AJ98" s="370"/>
      <c r="AK98" s="370"/>
      <c r="AL98" s="370"/>
      <c r="AM98" s="370"/>
      <c r="AN98" s="370"/>
      <c r="AO98" s="375" t="n">
        <f aca="false">IF(L98&gt;$N$4,0,IF(S98=0,1,S98))</f>
        <v>0</v>
      </c>
      <c r="AP98" s="375"/>
      <c r="AQ98" s="373"/>
      <c r="AR98" s="373"/>
    </row>
    <row r="99" customFormat="false" ht="12" hidden="false" customHeight="false" outlineLevel="0" collapsed="false">
      <c r="B99" s="376" t="n">
        <v>1</v>
      </c>
      <c r="C99" s="376" t="n">
        <v>2</v>
      </c>
      <c r="D99" s="376" t="n">
        <v>3</v>
      </c>
      <c r="E99" s="376" t="n">
        <v>4</v>
      </c>
      <c r="F99" s="376" t="n">
        <v>5</v>
      </c>
      <c r="G99" s="376" t="n">
        <v>6</v>
      </c>
      <c r="H99" s="376" t="n">
        <v>7</v>
      </c>
      <c r="I99" s="376" t="n">
        <v>8</v>
      </c>
      <c r="J99" s="358" t="n">
        <v>9</v>
      </c>
      <c r="K99" s="358" t="n">
        <v>10</v>
      </c>
      <c r="M99" s="376" t="n">
        <v>1</v>
      </c>
      <c r="N99" s="376" t="n">
        <v>2</v>
      </c>
      <c r="O99" s="376" t="n">
        <v>3</v>
      </c>
      <c r="P99" s="376" t="n">
        <v>4</v>
      </c>
      <c r="Q99" s="376" t="n">
        <v>5</v>
      </c>
      <c r="R99" s="376" t="n">
        <v>6</v>
      </c>
      <c r="S99" s="376" t="n">
        <v>7</v>
      </c>
      <c r="T99" s="376" t="n">
        <v>8</v>
      </c>
      <c r="U99" s="358" t="n">
        <v>9</v>
      </c>
      <c r="V99" s="358" t="n">
        <v>10</v>
      </c>
      <c r="X99" s="376"/>
      <c r="Y99" s="376"/>
      <c r="Z99" s="376"/>
      <c r="AA99" s="376"/>
      <c r="AB99" s="376"/>
      <c r="AC99" s="376"/>
      <c r="AD99" s="376"/>
      <c r="AE99" s="376"/>
      <c r="AI99" s="376"/>
      <c r="AJ99" s="376"/>
      <c r="AK99" s="376"/>
      <c r="AL99" s="376"/>
      <c r="AM99" s="376"/>
      <c r="AN99" s="376"/>
      <c r="AO99" s="376"/>
      <c r="AP99" s="376"/>
    </row>
    <row r="100" customFormat="false" ht="12" hidden="false" customHeight="false" outlineLevel="0" collapsed="false">
      <c r="A100" s="358" t="n">
        <v>1</v>
      </c>
      <c r="B100" s="378" t="n">
        <f aca="false" t="array" ref="B100:K109">Matrix14</f>
        <v>1</v>
      </c>
      <c r="C100" s="379" t="n">
        <v>1</v>
      </c>
      <c r="D100" s="379" t="n">
        <v>0</v>
      </c>
      <c r="E100" s="379" t="n">
        <v>0</v>
      </c>
      <c r="F100" s="379" t="n">
        <v>0</v>
      </c>
      <c r="G100" s="379" t="n">
        <v>0</v>
      </c>
      <c r="H100" s="379" t="n">
        <v>0</v>
      </c>
      <c r="I100" s="379" t="n">
        <v>0</v>
      </c>
      <c r="J100" s="379" t="n">
        <v>0</v>
      </c>
      <c r="K100" s="379" t="n">
        <v>0</v>
      </c>
      <c r="L100" s="358" t="n">
        <v>1</v>
      </c>
      <c r="M100" s="378" t="n">
        <f aca="false" t="array" ref="M100:V109">Matrix15</f>
        <v>1</v>
      </c>
      <c r="N100" s="379" t="n">
        <v>1</v>
      </c>
      <c r="O100" s="379" t="n">
        <v>0</v>
      </c>
      <c r="P100" s="379" t="n">
        <v>0</v>
      </c>
      <c r="Q100" s="379" t="n">
        <v>0</v>
      </c>
      <c r="R100" s="379" t="n">
        <v>0</v>
      </c>
      <c r="S100" s="379" t="n">
        <v>0</v>
      </c>
      <c r="T100" s="379" t="n">
        <v>0</v>
      </c>
      <c r="U100" s="379" t="n">
        <v>0</v>
      </c>
      <c r="V100" s="379" t="n">
        <v>0</v>
      </c>
      <c r="X100" s="380"/>
      <c r="Y100" s="381" t="n">
        <f aca="false">IF(C100=0,"",LN(C100))</f>
        <v>0</v>
      </c>
      <c r="Z100" s="381" t="str">
        <f aca="false">IF(D100=0,"",LN(D100))</f>
        <v/>
      </c>
      <c r="AA100" s="381" t="str">
        <f aca="false">IF(E100=0,"",LN(E100))</f>
        <v/>
      </c>
      <c r="AB100" s="381" t="str">
        <f aca="false">IF(F100=0,"",LN(F100))</f>
        <v/>
      </c>
      <c r="AC100" s="381" t="str">
        <f aca="false">IF(G100=0,"",LN(G100))</f>
        <v/>
      </c>
      <c r="AD100" s="381" t="str">
        <f aca="false">IF(H100=0,"",LN(H100))</f>
        <v/>
      </c>
      <c r="AE100" s="381" t="str">
        <f aca="false">IF(I100=0,"",LN(I100))</f>
        <v/>
      </c>
      <c r="AF100" s="381" t="str">
        <f aca="false">IF(J100=0,"",LN(J100))</f>
        <v/>
      </c>
      <c r="AG100" s="381" t="str">
        <f aca="false">IF(K100=0,"",LN(K100))</f>
        <v/>
      </c>
      <c r="AI100" s="380"/>
      <c r="AJ100" s="381" t="n">
        <f aca="false">IF(N100=0,"",LN(N100))</f>
        <v>0</v>
      </c>
      <c r="AK100" s="381" t="str">
        <f aca="false">IF(O100=0,"",LN(O100))</f>
        <v/>
      </c>
      <c r="AL100" s="381" t="str">
        <f aca="false">IF(P100=0,"",LN(P100))</f>
        <v/>
      </c>
      <c r="AM100" s="381" t="str">
        <f aca="false">IF(Q100=0,"",LN(Q100))</f>
        <v/>
      </c>
      <c r="AN100" s="381" t="str">
        <f aca="false">IF(R100=0,"",LN(R100))</f>
        <v/>
      </c>
      <c r="AO100" s="381" t="str">
        <f aca="false">IF(S100=0,"",LN(S100))</f>
        <v/>
      </c>
      <c r="AP100" s="381" t="str">
        <f aca="false">IF(T100=0,"",LN(T100))</f>
        <v/>
      </c>
      <c r="AQ100" s="381" t="str">
        <f aca="false">IF(U100=0,"",LN(U100))</f>
        <v/>
      </c>
      <c r="AR100" s="381" t="str">
        <f aca="false">IF(V100=0,"",LN(V100))</f>
        <v/>
      </c>
    </row>
    <row r="101" customFormat="false" ht="12" hidden="false" customHeight="false" outlineLevel="0" collapsed="false">
      <c r="A101" s="358" t="n">
        <v>2</v>
      </c>
      <c r="B101" s="379" t="n">
        <v>1</v>
      </c>
      <c r="C101" s="378" t="n">
        <v>1</v>
      </c>
      <c r="D101" s="379" t="n">
        <v>0</v>
      </c>
      <c r="E101" s="379" t="n">
        <v>0</v>
      </c>
      <c r="F101" s="379" t="n">
        <v>0</v>
      </c>
      <c r="G101" s="379" t="n">
        <v>0</v>
      </c>
      <c r="H101" s="379" t="n">
        <v>0</v>
      </c>
      <c r="I101" s="379" t="n">
        <v>0</v>
      </c>
      <c r="J101" s="379" t="n">
        <v>0</v>
      </c>
      <c r="K101" s="379" t="n">
        <v>0</v>
      </c>
      <c r="L101" s="358" t="n">
        <v>2</v>
      </c>
      <c r="M101" s="379" t="n">
        <v>1</v>
      </c>
      <c r="N101" s="378" t="n">
        <v>1</v>
      </c>
      <c r="O101" s="379" t="n">
        <v>0</v>
      </c>
      <c r="P101" s="379" t="n">
        <v>0</v>
      </c>
      <c r="Q101" s="379" t="n">
        <v>0</v>
      </c>
      <c r="R101" s="379" t="n">
        <v>0</v>
      </c>
      <c r="S101" s="379" t="n">
        <v>0</v>
      </c>
      <c r="T101" s="379" t="n">
        <v>0</v>
      </c>
      <c r="U101" s="379" t="n">
        <v>0</v>
      </c>
      <c r="V101" s="379" t="n">
        <v>0</v>
      </c>
      <c r="X101" s="381"/>
      <c r="Y101" s="380"/>
      <c r="Z101" s="381" t="str">
        <f aca="false">IF(D101=0,"",LN(D101))</f>
        <v/>
      </c>
      <c r="AA101" s="381" t="str">
        <f aca="false">IF(E101=0,"",LN(E101))</f>
        <v/>
      </c>
      <c r="AB101" s="381" t="str">
        <f aca="false">IF(F101=0,"",LN(F101))</f>
        <v/>
      </c>
      <c r="AC101" s="381" t="str">
        <f aca="false">IF(G101=0,"",LN(G101))</f>
        <v/>
      </c>
      <c r="AD101" s="381" t="str">
        <f aca="false">IF(H101=0,"",LN(H101))</f>
        <v/>
      </c>
      <c r="AE101" s="381" t="str">
        <f aca="false">IF(I101=0,"",LN(I101))</f>
        <v/>
      </c>
      <c r="AF101" s="381" t="str">
        <f aca="false">IF(J101=0,"",LN(J101))</f>
        <v/>
      </c>
      <c r="AG101" s="381" t="str">
        <f aca="false">IF(K101=0,"",LN(K101))</f>
        <v/>
      </c>
      <c r="AI101" s="381"/>
      <c r="AJ101" s="380"/>
      <c r="AK101" s="381" t="str">
        <f aca="false">IF(O101=0,"",LN(O101))</f>
        <v/>
      </c>
      <c r="AL101" s="381" t="str">
        <f aca="false">IF(P101=0,"",LN(P101))</f>
        <v/>
      </c>
      <c r="AM101" s="381" t="str">
        <f aca="false">IF(Q101=0,"",LN(Q101))</f>
        <v/>
      </c>
      <c r="AN101" s="381" t="str">
        <f aca="false">IF(R101=0,"",LN(R101))</f>
        <v/>
      </c>
      <c r="AO101" s="381" t="str">
        <f aca="false">IF(S101=0,"",LN(S101))</f>
        <v/>
      </c>
      <c r="AP101" s="381" t="str">
        <f aca="false">IF(T101=0,"",LN(T101))</f>
        <v/>
      </c>
      <c r="AQ101" s="381" t="str">
        <f aca="false">IF(U101=0,"",LN(U101))</f>
        <v/>
      </c>
      <c r="AR101" s="381" t="str">
        <f aca="false">IF(V101=0,"",LN(V101))</f>
        <v/>
      </c>
    </row>
    <row r="102" customFormat="false" ht="12" hidden="false" customHeight="false" outlineLevel="0" collapsed="false">
      <c r="A102" s="358" t="n">
        <v>3</v>
      </c>
      <c r="B102" s="379" t="n">
        <v>0</v>
      </c>
      <c r="C102" s="379" t="n">
        <v>0</v>
      </c>
      <c r="D102" s="378" t="n">
        <v>1</v>
      </c>
      <c r="E102" s="379" t="n">
        <v>0</v>
      </c>
      <c r="F102" s="379" t="n">
        <v>0</v>
      </c>
      <c r="G102" s="379" t="n">
        <v>0</v>
      </c>
      <c r="H102" s="379" t="n">
        <v>0</v>
      </c>
      <c r="I102" s="379" t="n">
        <v>0</v>
      </c>
      <c r="J102" s="379" t="n">
        <v>0</v>
      </c>
      <c r="K102" s="379" t="n">
        <v>0</v>
      </c>
      <c r="L102" s="358" t="n">
        <v>3</v>
      </c>
      <c r="M102" s="379" t="n">
        <v>0</v>
      </c>
      <c r="N102" s="379" t="n">
        <v>0</v>
      </c>
      <c r="O102" s="378" t="n">
        <v>1</v>
      </c>
      <c r="P102" s="379" t="n">
        <v>0</v>
      </c>
      <c r="Q102" s="379" t="n">
        <v>0</v>
      </c>
      <c r="R102" s="379" t="n">
        <v>0</v>
      </c>
      <c r="S102" s="379" t="n">
        <v>0</v>
      </c>
      <c r="T102" s="379" t="n">
        <v>0</v>
      </c>
      <c r="U102" s="379" t="n">
        <v>0</v>
      </c>
      <c r="V102" s="379" t="n">
        <v>0</v>
      </c>
      <c r="X102" s="381"/>
      <c r="Y102" s="381"/>
      <c r="Z102" s="380"/>
      <c r="AA102" s="381" t="str">
        <f aca="false">IF(E102=0,"",LN(E102))</f>
        <v/>
      </c>
      <c r="AB102" s="381" t="str">
        <f aca="false">IF(F102=0,"",LN(F102))</f>
        <v/>
      </c>
      <c r="AC102" s="381" t="str">
        <f aca="false">IF(G102=0,"",LN(G102))</f>
        <v/>
      </c>
      <c r="AD102" s="381" t="str">
        <f aca="false">IF(H102=0,"",LN(H102))</f>
        <v/>
      </c>
      <c r="AE102" s="381" t="str">
        <f aca="false">IF(I102=0,"",LN(I102))</f>
        <v/>
      </c>
      <c r="AF102" s="381" t="str">
        <f aca="false">IF(J102=0,"",LN(J102))</f>
        <v/>
      </c>
      <c r="AG102" s="381" t="str">
        <f aca="false">IF(K102=0,"",LN(K102))</f>
        <v/>
      </c>
      <c r="AI102" s="381"/>
      <c r="AJ102" s="381"/>
      <c r="AK102" s="380"/>
      <c r="AL102" s="381" t="str">
        <f aca="false">IF(P102=0,"",LN(P102))</f>
        <v/>
      </c>
      <c r="AM102" s="381" t="str">
        <f aca="false">IF(Q102=0,"",LN(Q102))</f>
        <v/>
      </c>
      <c r="AN102" s="381" t="str">
        <f aca="false">IF(R102=0,"",LN(R102))</f>
        <v/>
      </c>
      <c r="AO102" s="381" t="str">
        <f aca="false">IF(S102=0,"",LN(S102))</f>
        <v/>
      </c>
      <c r="AP102" s="381" t="str">
        <f aca="false">IF(T102=0,"",LN(T102))</f>
        <v/>
      </c>
      <c r="AQ102" s="381" t="str">
        <f aca="false">IF(U102=0,"",LN(U102))</f>
        <v/>
      </c>
      <c r="AR102" s="381" t="str">
        <f aca="false">IF(V102=0,"",LN(V102))</f>
        <v/>
      </c>
    </row>
    <row r="103" customFormat="false" ht="12" hidden="false" customHeight="false" outlineLevel="0" collapsed="false">
      <c r="A103" s="358" t="n">
        <v>4</v>
      </c>
      <c r="B103" s="379" t="n">
        <v>0</v>
      </c>
      <c r="C103" s="379" t="n">
        <v>0</v>
      </c>
      <c r="D103" s="379" t="n">
        <v>0</v>
      </c>
      <c r="E103" s="378" t="n">
        <v>1</v>
      </c>
      <c r="F103" s="379" t="n">
        <v>0</v>
      </c>
      <c r="G103" s="379" t="n">
        <v>0</v>
      </c>
      <c r="H103" s="379" t="n">
        <v>0</v>
      </c>
      <c r="I103" s="379" t="n">
        <v>0</v>
      </c>
      <c r="J103" s="379" t="n">
        <v>0</v>
      </c>
      <c r="K103" s="379" t="n">
        <v>0</v>
      </c>
      <c r="L103" s="358" t="n">
        <v>4</v>
      </c>
      <c r="M103" s="379" t="n">
        <v>0</v>
      </c>
      <c r="N103" s="379" t="n">
        <v>0</v>
      </c>
      <c r="O103" s="379" t="n">
        <v>0</v>
      </c>
      <c r="P103" s="378" t="n">
        <v>1</v>
      </c>
      <c r="Q103" s="379" t="n">
        <v>0</v>
      </c>
      <c r="R103" s="379" t="n">
        <v>0</v>
      </c>
      <c r="S103" s="379" t="n">
        <v>0</v>
      </c>
      <c r="T103" s="379" t="n">
        <v>0</v>
      </c>
      <c r="U103" s="379" t="n">
        <v>0</v>
      </c>
      <c r="V103" s="379" t="n">
        <v>0</v>
      </c>
      <c r="X103" s="381"/>
      <c r="Y103" s="381"/>
      <c r="Z103" s="381"/>
      <c r="AA103" s="380"/>
      <c r="AB103" s="381" t="str">
        <f aca="false">IF(F103=0,"",LN(F103))</f>
        <v/>
      </c>
      <c r="AC103" s="381" t="str">
        <f aca="false">IF(G103=0,"",LN(G103))</f>
        <v/>
      </c>
      <c r="AD103" s="381" t="str">
        <f aca="false">IF(H103=0,"",LN(H103))</f>
        <v/>
      </c>
      <c r="AE103" s="381" t="str">
        <f aca="false">IF(I103=0,"",LN(I103))</f>
        <v/>
      </c>
      <c r="AF103" s="381" t="str">
        <f aca="false">IF(J103=0,"",LN(J103))</f>
        <v/>
      </c>
      <c r="AG103" s="381" t="str">
        <f aca="false">IF(K103=0,"",LN(K103))</f>
        <v/>
      </c>
      <c r="AI103" s="381"/>
      <c r="AJ103" s="381"/>
      <c r="AK103" s="381"/>
      <c r="AL103" s="380"/>
      <c r="AM103" s="381" t="str">
        <f aca="false">IF(Q103=0,"",LN(Q103))</f>
        <v/>
      </c>
      <c r="AN103" s="381" t="str">
        <f aca="false">IF(R103=0,"",LN(R103))</f>
        <v/>
      </c>
      <c r="AO103" s="381" t="str">
        <f aca="false">IF(S103=0,"",LN(S103))</f>
        <v/>
      </c>
      <c r="AP103" s="381" t="str">
        <f aca="false">IF(T103=0,"",LN(T103))</f>
        <v/>
      </c>
      <c r="AQ103" s="381" t="str">
        <f aca="false">IF(U103=0,"",LN(U103))</f>
        <v/>
      </c>
      <c r="AR103" s="381" t="str">
        <f aca="false">IF(V103=0,"",LN(V103))</f>
        <v/>
      </c>
    </row>
    <row r="104" customFormat="false" ht="12" hidden="false" customHeight="false" outlineLevel="0" collapsed="false">
      <c r="A104" s="358" t="n">
        <v>5</v>
      </c>
      <c r="B104" s="379" t="n">
        <v>0</v>
      </c>
      <c r="C104" s="379" t="n">
        <v>0</v>
      </c>
      <c r="D104" s="379" t="n">
        <v>0</v>
      </c>
      <c r="E104" s="379" t="n">
        <v>0</v>
      </c>
      <c r="F104" s="378" t="n">
        <v>1</v>
      </c>
      <c r="G104" s="379" t="n">
        <v>0</v>
      </c>
      <c r="H104" s="379" t="n">
        <v>0</v>
      </c>
      <c r="I104" s="379" t="n">
        <v>0</v>
      </c>
      <c r="J104" s="379" t="n">
        <v>0</v>
      </c>
      <c r="K104" s="379" t="n">
        <v>0</v>
      </c>
      <c r="L104" s="358" t="n">
        <v>5</v>
      </c>
      <c r="M104" s="379" t="n">
        <v>0</v>
      </c>
      <c r="N104" s="379" t="n">
        <v>0</v>
      </c>
      <c r="O104" s="379" t="n">
        <v>0</v>
      </c>
      <c r="P104" s="379" t="n">
        <v>0</v>
      </c>
      <c r="Q104" s="378" t="n">
        <v>1</v>
      </c>
      <c r="R104" s="379" t="n">
        <v>0</v>
      </c>
      <c r="S104" s="379" t="n">
        <v>0</v>
      </c>
      <c r="T104" s="379" t="n">
        <v>0</v>
      </c>
      <c r="U104" s="379" t="n">
        <v>0</v>
      </c>
      <c r="V104" s="379" t="n">
        <v>0</v>
      </c>
      <c r="X104" s="381"/>
      <c r="Y104" s="381"/>
      <c r="Z104" s="381"/>
      <c r="AA104" s="381"/>
      <c r="AB104" s="380"/>
      <c r="AC104" s="381" t="str">
        <f aca="false">IF(G104=0,"",LN(G104))</f>
        <v/>
      </c>
      <c r="AD104" s="381" t="str">
        <f aca="false">IF(H104=0,"",LN(H104))</f>
        <v/>
      </c>
      <c r="AE104" s="381" t="str">
        <f aca="false">IF(I104=0,"",LN(I104))</f>
        <v/>
      </c>
      <c r="AF104" s="381" t="str">
        <f aca="false">IF(J104=0,"",LN(J104))</f>
        <v/>
      </c>
      <c r="AG104" s="381" t="str">
        <f aca="false">IF(K104=0,"",LN(K104))</f>
        <v/>
      </c>
      <c r="AI104" s="381"/>
      <c r="AJ104" s="381"/>
      <c r="AK104" s="381"/>
      <c r="AL104" s="381"/>
      <c r="AM104" s="380"/>
      <c r="AN104" s="381" t="str">
        <f aca="false">IF(R104=0,"",LN(R104))</f>
        <v/>
      </c>
      <c r="AO104" s="381" t="str">
        <f aca="false">IF(S104=0,"",LN(S104))</f>
        <v/>
      </c>
      <c r="AP104" s="381" t="str">
        <f aca="false">IF(T104=0,"",LN(T104))</f>
        <v/>
      </c>
      <c r="AQ104" s="381" t="str">
        <f aca="false">IF(U104=0,"",LN(U104))</f>
        <v/>
      </c>
      <c r="AR104" s="381" t="str">
        <f aca="false">IF(V104=0,"",LN(V104))</f>
        <v/>
      </c>
    </row>
    <row r="105" customFormat="false" ht="12" hidden="false" customHeight="false" outlineLevel="0" collapsed="false">
      <c r="A105" s="358" t="n">
        <v>6</v>
      </c>
      <c r="B105" s="379" t="n">
        <v>0</v>
      </c>
      <c r="C105" s="379" t="n">
        <v>0</v>
      </c>
      <c r="D105" s="379" t="n">
        <v>0</v>
      </c>
      <c r="E105" s="379" t="n">
        <v>0</v>
      </c>
      <c r="F105" s="379" t="n">
        <v>0</v>
      </c>
      <c r="G105" s="378" t="n">
        <v>1</v>
      </c>
      <c r="H105" s="379" t="n">
        <v>0</v>
      </c>
      <c r="I105" s="379" t="n">
        <v>0</v>
      </c>
      <c r="J105" s="379" t="n">
        <v>0</v>
      </c>
      <c r="K105" s="379" t="n">
        <v>0</v>
      </c>
      <c r="L105" s="358" t="n">
        <v>6</v>
      </c>
      <c r="M105" s="379" t="n">
        <v>0</v>
      </c>
      <c r="N105" s="379" t="n">
        <v>0</v>
      </c>
      <c r="O105" s="379" t="n">
        <v>0</v>
      </c>
      <c r="P105" s="379" t="n">
        <v>0</v>
      </c>
      <c r="Q105" s="379" t="n">
        <v>0</v>
      </c>
      <c r="R105" s="378" t="n">
        <v>1</v>
      </c>
      <c r="S105" s="379" t="n">
        <v>0</v>
      </c>
      <c r="T105" s="379" t="n">
        <v>0</v>
      </c>
      <c r="U105" s="379" t="n">
        <v>0</v>
      </c>
      <c r="V105" s="379" t="n">
        <v>0</v>
      </c>
      <c r="X105" s="381"/>
      <c r="Y105" s="381"/>
      <c r="Z105" s="381"/>
      <c r="AA105" s="381"/>
      <c r="AB105" s="381"/>
      <c r="AC105" s="380"/>
      <c r="AD105" s="381" t="str">
        <f aca="false">IF(H105=0,"",LN(H105))</f>
        <v/>
      </c>
      <c r="AE105" s="381" t="str">
        <f aca="false">IF(I105=0,"",LN(I105))</f>
        <v/>
      </c>
      <c r="AF105" s="381" t="str">
        <f aca="false">IF(J105=0,"",LN(J105))</f>
        <v/>
      </c>
      <c r="AG105" s="381" t="str">
        <f aca="false">IF(K105=0,"",LN(K105))</f>
        <v/>
      </c>
      <c r="AI105" s="381"/>
      <c r="AJ105" s="381"/>
      <c r="AK105" s="381"/>
      <c r="AL105" s="381"/>
      <c r="AM105" s="381"/>
      <c r="AN105" s="380"/>
      <c r="AO105" s="381" t="str">
        <f aca="false">IF(S105=0,"",LN(S105))</f>
        <v/>
      </c>
      <c r="AP105" s="381" t="str">
        <f aca="false">IF(T105=0,"",LN(T105))</f>
        <v/>
      </c>
      <c r="AQ105" s="381" t="str">
        <f aca="false">IF(U105=0,"",LN(U105))</f>
        <v/>
      </c>
      <c r="AR105" s="381" t="str">
        <f aca="false">IF(V105=0,"",LN(V105))</f>
        <v/>
      </c>
    </row>
    <row r="106" customFormat="false" ht="12" hidden="false" customHeight="false" outlineLevel="0" collapsed="false">
      <c r="A106" s="358" t="n">
        <v>7</v>
      </c>
      <c r="B106" s="379" t="n">
        <v>0</v>
      </c>
      <c r="C106" s="379" t="n">
        <v>0</v>
      </c>
      <c r="D106" s="379" t="n">
        <v>0</v>
      </c>
      <c r="E106" s="379" t="n">
        <v>0</v>
      </c>
      <c r="F106" s="379" t="n">
        <v>0</v>
      </c>
      <c r="G106" s="379" t="n">
        <v>0</v>
      </c>
      <c r="H106" s="378" t="n">
        <v>1</v>
      </c>
      <c r="I106" s="379" t="n">
        <v>0</v>
      </c>
      <c r="J106" s="379" t="n">
        <v>0</v>
      </c>
      <c r="K106" s="379" t="n">
        <v>0</v>
      </c>
      <c r="L106" s="358" t="n">
        <v>7</v>
      </c>
      <c r="M106" s="379" t="n">
        <v>0</v>
      </c>
      <c r="N106" s="379" t="n">
        <v>0</v>
      </c>
      <c r="O106" s="379" t="n">
        <v>0</v>
      </c>
      <c r="P106" s="379" t="n">
        <v>0</v>
      </c>
      <c r="Q106" s="379" t="n">
        <v>0</v>
      </c>
      <c r="R106" s="379" t="n">
        <v>0</v>
      </c>
      <c r="S106" s="378" t="n">
        <v>1</v>
      </c>
      <c r="T106" s="379" t="n">
        <v>0</v>
      </c>
      <c r="U106" s="379" t="n">
        <v>0</v>
      </c>
      <c r="V106" s="379" t="n">
        <v>0</v>
      </c>
      <c r="X106" s="381"/>
      <c r="Y106" s="381"/>
      <c r="Z106" s="381"/>
      <c r="AA106" s="381"/>
      <c r="AB106" s="381"/>
      <c r="AC106" s="381"/>
      <c r="AD106" s="380"/>
      <c r="AE106" s="381" t="str">
        <f aca="false">IF(I106=0,"",LN(I106))</f>
        <v/>
      </c>
      <c r="AF106" s="381" t="str">
        <f aca="false">IF(J106=0,"",LN(J106))</f>
        <v/>
      </c>
      <c r="AG106" s="381" t="str">
        <f aca="false">IF(K106=0,"",LN(K106))</f>
        <v/>
      </c>
      <c r="AI106" s="381"/>
      <c r="AJ106" s="381"/>
      <c r="AK106" s="381"/>
      <c r="AL106" s="381"/>
      <c r="AM106" s="381"/>
      <c r="AN106" s="381"/>
      <c r="AO106" s="380"/>
      <c r="AP106" s="381" t="str">
        <f aca="false">IF(T106=0,"",LN(T106))</f>
        <v/>
      </c>
      <c r="AQ106" s="381" t="str">
        <f aca="false">IF(U106=0,"",LN(U106))</f>
        <v/>
      </c>
      <c r="AR106" s="381" t="str">
        <f aca="false">IF(V106=0,"",LN(V106))</f>
        <v/>
      </c>
    </row>
    <row r="107" customFormat="false" ht="12" hidden="false" customHeight="false" outlineLevel="0" collapsed="false">
      <c r="A107" s="358" t="n">
        <v>8</v>
      </c>
      <c r="B107" s="379" t="n">
        <v>0</v>
      </c>
      <c r="C107" s="379" t="n">
        <v>0</v>
      </c>
      <c r="D107" s="379" t="n">
        <v>0</v>
      </c>
      <c r="E107" s="379" t="n">
        <v>0</v>
      </c>
      <c r="F107" s="379" t="n">
        <v>0</v>
      </c>
      <c r="G107" s="379" t="n">
        <v>0</v>
      </c>
      <c r="H107" s="379" t="n">
        <v>0</v>
      </c>
      <c r="I107" s="378" t="n">
        <v>1</v>
      </c>
      <c r="J107" s="379" t="n">
        <v>0</v>
      </c>
      <c r="K107" s="379" t="n">
        <v>0</v>
      </c>
      <c r="L107" s="358" t="n">
        <v>8</v>
      </c>
      <c r="M107" s="379" t="n">
        <v>0</v>
      </c>
      <c r="N107" s="379" t="n">
        <v>0</v>
      </c>
      <c r="O107" s="379" t="n">
        <v>0</v>
      </c>
      <c r="P107" s="379" t="n">
        <v>0</v>
      </c>
      <c r="Q107" s="379" t="n">
        <v>0</v>
      </c>
      <c r="R107" s="379" t="n">
        <v>0</v>
      </c>
      <c r="S107" s="379" t="n">
        <v>0</v>
      </c>
      <c r="T107" s="378" t="n">
        <v>1</v>
      </c>
      <c r="U107" s="379" t="n">
        <v>0</v>
      </c>
      <c r="V107" s="379" t="n">
        <v>0</v>
      </c>
      <c r="X107" s="381"/>
      <c r="Y107" s="381"/>
      <c r="Z107" s="381"/>
      <c r="AA107" s="381"/>
      <c r="AB107" s="381"/>
      <c r="AC107" s="381"/>
      <c r="AD107" s="381"/>
      <c r="AE107" s="380"/>
      <c r="AF107" s="381" t="str">
        <f aca="false">IF(J107=0,"",LN(J107))</f>
        <v/>
      </c>
      <c r="AG107" s="381" t="str">
        <f aca="false">IF(K107=0,"",LN(K107))</f>
        <v/>
      </c>
      <c r="AI107" s="381"/>
      <c r="AJ107" s="381"/>
      <c r="AK107" s="381"/>
      <c r="AL107" s="381"/>
      <c r="AM107" s="381"/>
      <c r="AN107" s="381"/>
      <c r="AO107" s="381"/>
      <c r="AP107" s="380"/>
      <c r="AQ107" s="381" t="str">
        <f aca="false">IF(U107=0,"",LN(U107))</f>
        <v/>
      </c>
      <c r="AR107" s="381" t="str">
        <f aca="false">IF(V107=0,"",LN(V107))</f>
        <v/>
      </c>
    </row>
    <row r="108" customFormat="false" ht="12" hidden="false" customHeight="false" outlineLevel="0" collapsed="false">
      <c r="A108" s="358" t="n">
        <v>9</v>
      </c>
      <c r="B108" s="379" t="n">
        <v>0</v>
      </c>
      <c r="C108" s="379" t="n">
        <v>0</v>
      </c>
      <c r="D108" s="379" t="n">
        <v>0</v>
      </c>
      <c r="E108" s="379" t="n">
        <v>0</v>
      </c>
      <c r="F108" s="379" t="n">
        <v>0</v>
      </c>
      <c r="G108" s="379" t="n">
        <v>0</v>
      </c>
      <c r="H108" s="379" t="n">
        <v>0</v>
      </c>
      <c r="I108" s="379" t="n">
        <v>0</v>
      </c>
      <c r="J108" s="378" t="n">
        <v>1</v>
      </c>
      <c r="K108" s="379" t="n">
        <v>0</v>
      </c>
      <c r="L108" s="358" t="n">
        <v>9</v>
      </c>
      <c r="M108" s="379" t="n">
        <v>0</v>
      </c>
      <c r="N108" s="379" t="n">
        <v>0</v>
      </c>
      <c r="O108" s="379" t="n">
        <v>0</v>
      </c>
      <c r="P108" s="379" t="n">
        <v>0</v>
      </c>
      <c r="Q108" s="379" t="n">
        <v>0</v>
      </c>
      <c r="R108" s="379" t="n">
        <v>0</v>
      </c>
      <c r="S108" s="379" t="n">
        <v>0</v>
      </c>
      <c r="T108" s="379" t="n">
        <v>0</v>
      </c>
      <c r="U108" s="378" t="n">
        <v>1</v>
      </c>
      <c r="V108" s="379" t="n">
        <v>0</v>
      </c>
      <c r="X108" s="381"/>
      <c r="Y108" s="381"/>
      <c r="Z108" s="381"/>
      <c r="AA108" s="381"/>
      <c r="AB108" s="381"/>
      <c r="AC108" s="381"/>
      <c r="AD108" s="381"/>
      <c r="AE108" s="381"/>
      <c r="AF108" s="380"/>
      <c r="AG108" s="381" t="str">
        <f aca="false">IF(K108=0,"",LN(K108))</f>
        <v/>
      </c>
      <c r="AI108" s="381"/>
      <c r="AJ108" s="381"/>
      <c r="AK108" s="381"/>
      <c r="AL108" s="381"/>
      <c r="AM108" s="381"/>
      <c r="AN108" s="381"/>
      <c r="AO108" s="381"/>
      <c r="AP108" s="381"/>
      <c r="AQ108" s="380"/>
      <c r="AR108" s="381" t="str">
        <f aca="false">IF(V108=0,"",LN(V108))</f>
        <v/>
      </c>
    </row>
    <row r="109" customFormat="false" ht="12" hidden="false" customHeight="false" outlineLevel="0" collapsed="false">
      <c r="A109" s="358" t="n">
        <v>10</v>
      </c>
      <c r="B109" s="379" t="n">
        <v>0</v>
      </c>
      <c r="C109" s="379" t="n">
        <v>0</v>
      </c>
      <c r="D109" s="379" t="n">
        <v>0</v>
      </c>
      <c r="E109" s="379" t="n">
        <v>0</v>
      </c>
      <c r="F109" s="379" t="n">
        <v>0</v>
      </c>
      <c r="G109" s="379" t="n">
        <v>0</v>
      </c>
      <c r="H109" s="379" t="n">
        <v>0</v>
      </c>
      <c r="I109" s="379" t="n">
        <v>0</v>
      </c>
      <c r="J109" s="379" t="n">
        <v>0</v>
      </c>
      <c r="K109" s="378" t="n">
        <v>1</v>
      </c>
      <c r="L109" s="358" t="n">
        <v>10</v>
      </c>
      <c r="M109" s="379" t="n">
        <v>0</v>
      </c>
      <c r="N109" s="379" t="n">
        <v>0</v>
      </c>
      <c r="O109" s="379" t="n">
        <v>0</v>
      </c>
      <c r="P109" s="379" t="n">
        <v>0</v>
      </c>
      <c r="Q109" s="379" t="n">
        <v>0</v>
      </c>
      <c r="R109" s="379" t="n">
        <v>0</v>
      </c>
      <c r="S109" s="379" t="n">
        <v>0</v>
      </c>
      <c r="T109" s="379" t="n">
        <v>0</v>
      </c>
      <c r="U109" s="379" t="n">
        <v>0</v>
      </c>
      <c r="V109" s="378" t="n">
        <v>1</v>
      </c>
      <c r="X109" s="381"/>
      <c r="Y109" s="381"/>
      <c r="Z109" s="381"/>
      <c r="AA109" s="381"/>
      <c r="AB109" s="381"/>
      <c r="AC109" s="381"/>
      <c r="AD109" s="381"/>
      <c r="AE109" s="381"/>
      <c r="AF109" s="381"/>
      <c r="AG109" s="380"/>
      <c r="AI109" s="381"/>
      <c r="AJ109" s="381"/>
      <c r="AK109" s="381"/>
      <c r="AL109" s="381"/>
      <c r="AM109" s="381"/>
      <c r="AN109" s="381"/>
      <c r="AO109" s="381"/>
      <c r="AP109" s="381"/>
      <c r="AQ109" s="381"/>
      <c r="AR109" s="380"/>
    </row>
    <row r="111" customFormat="false" ht="12.75" hidden="false" customHeight="false" outlineLevel="0" collapsed="false">
      <c r="A111" s="369" t="n">
        <v>16</v>
      </c>
      <c r="B111" s="370" t="str">
        <f aca="true">INDIRECT(ADDRESS(17,2,1,1,"in"&amp;TEXT(A111,"@")))</f>
        <v>Participant 16</v>
      </c>
      <c r="C111" s="370"/>
      <c r="D111" s="370"/>
      <c r="E111" s="370"/>
      <c r="F111" s="370"/>
      <c r="G111" s="370"/>
      <c r="H111" s="371" t="n">
        <f aca="true">INDIRECT(ADDRESS(17,6,1,1,"in"&amp;TEXT(A111,"@")))</f>
        <v>1</v>
      </c>
      <c r="I111" s="372"/>
      <c r="J111" s="373" t="n">
        <f aca="true">INDIRECT(ADDRESS(17,7,1,1,"in"&amp;TEXT(A111,"@")))</f>
        <v>0</v>
      </c>
      <c r="K111" s="373"/>
      <c r="L111" s="369" t="n">
        <v>17</v>
      </c>
      <c r="M111" s="370" t="str">
        <f aca="true">INDIRECT(ADDRESS(17,2,1,1,"in"&amp;TEXT(L111,"@")))</f>
        <v>Participant 17</v>
      </c>
      <c r="N111" s="370"/>
      <c r="O111" s="370"/>
      <c r="P111" s="370"/>
      <c r="Q111" s="370"/>
      <c r="R111" s="370"/>
      <c r="S111" s="371" t="n">
        <f aca="true">INDIRECT(ADDRESS(17,6,1,1,"in"&amp;TEXT(L111,"@")))</f>
        <v>1</v>
      </c>
      <c r="T111" s="372"/>
      <c r="U111" s="373" t="n">
        <f aca="true">INDIRECT(ADDRESS(17,7,1,1,"in"&amp;TEXT(L111,"@")))</f>
        <v>0</v>
      </c>
      <c r="V111" s="373"/>
      <c r="X111" s="370"/>
      <c r="Y111" s="370"/>
      <c r="Z111" s="370"/>
      <c r="AA111" s="370"/>
      <c r="AB111" s="370"/>
      <c r="AC111" s="370"/>
      <c r="AD111" s="375" t="n">
        <f aca="false">IF(A111&gt;$N$4,0,IF(H111=0,1,H111))</f>
        <v>0</v>
      </c>
      <c r="AE111" s="375"/>
      <c r="AF111" s="373"/>
      <c r="AG111" s="373"/>
      <c r="AI111" s="370"/>
      <c r="AJ111" s="370"/>
      <c r="AK111" s="370"/>
      <c r="AL111" s="370"/>
      <c r="AM111" s="370"/>
      <c r="AN111" s="370"/>
      <c r="AO111" s="375" t="n">
        <f aca="false">IF(L111&gt;$N$4,0,IF(S111=0,1,S111))</f>
        <v>0</v>
      </c>
      <c r="AP111" s="375"/>
      <c r="AQ111" s="373"/>
      <c r="AR111" s="373"/>
    </row>
    <row r="112" customFormat="false" ht="12" hidden="false" customHeight="false" outlineLevel="0" collapsed="false">
      <c r="B112" s="376" t="n">
        <v>1</v>
      </c>
      <c r="C112" s="376" t="n">
        <v>2</v>
      </c>
      <c r="D112" s="376" t="n">
        <v>3</v>
      </c>
      <c r="E112" s="376" t="n">
        <v>4</v>
      </c>
      <c r="F112" s="376" t="n">
        <v>5</v>
      </c>
      <c r="G112" s="376" t="n">
        <v>6</v>
      </c>
      <c r="H112" s="376" t="n">
        <v>7</v>
      </c>
      <c r="I112" s="376" t="n">
        <v>8</v>
      </c>
      <c r="J112" s="358" t="n">
        <v>9</v>
      </c>
      <c r="K112" s="358" t="n">
        <v>10</v>
      </c>
      <c r="M112" s="376" t="n">
        <v>1</v>
      </c>
      <c r="N112" s="376" t="n">
        <v>2</v>
      </c>
      <c r="O112" s="376" t="n">
        <v>3</v>
      </c>
      <c r="P112" s="376" t="n">
        <v>4</v>
      </c>
      <c r="Q112" s="376" t="n">
        <v>5</v>
      </c>
      <c r="R112" s="376" t="n">
        <v>6</v>
      </c>
      <c r="S112" s="376" t="n">
        <v>7</v>
      </c>
      <c r="T112" s="376" t="n">
        <v>8</v>
      </c>
      <c r="U112" s="358" t="n">
        <v>9</v>
      </c>
      <c r="V112" s="358" t="n">
        <v>10</v>
      </c>
      <c r="X112" s="376"/>
      <c r="Y112" s="376"/>
      <c r="Z112" s="376"/>
      <c r="AA112" s="376"/>
      <c r="AB112" s="376"/>
      <c r="AC112" s="376"/>
      <c r="AD112" s="376"/>
      <c r="AE112" s="376"/>
      <c r="AI112" s="376"/>
      <c r="AJ112" s="376"/>
      <c r="AK112" s="376"/>
      <c r="AL112" s="376"/>
      <c r="AM112" s="376"/>
      <c r="AN112" s="376"/>
      <c r="AO112" s="376"/>
      <c r="AP112" s="376"/>
    </row>
    <row r="113" customFormat="false" ht="12" hidden="false" customHeight="false" outlineLevel="0" collapsed="false">
      <c r="A113" s="358" t="n">
        <v>1</v>
      </c>
      <c r="B113" s="378" t="n">
        <f aca="false" t="array" ref="B113:K122">Matrix16</f>
        <v>1</v>
      </c>
      <c r="C113" s="379" t="n">
        <v>1</v>
      </c>
      <c r="D113" s="379" t="n">
        <v>0</v>
      </c>
      <c r="E113" s="379" t="n">
        <v>0</v>
      </c>
      <c r="F113" s="379" t="n">
        <v>0</v>
      </c>
      <c r="G113" s="379" t="n">
        <v>0</v>
      </c>
      <c r="H113" s="379" t="n">
        <v>0</v>
      </c>
      <c r="I113" s="379" t="n">
        <v>0</v>
      </c>
      <c r="J113" s="379" t="n">
        <v>0</v>
      </c>
      <c r="K113" s="379" t="n">
        <v>0</v>
      </c>
      <c r="L113" s="358" t="n">
        <v>1</v>
      </c>
      <c r="M113" s="378" t="n">
        <f aca="false" t="array" ref="M113:V122">Matrix17</f>
        <v>1</v>
      </c>
      <c r="N113" s="379" t="n">
        <v>1</v>
      </c>
      <c r="O113" s="379" t="n">
        <v>0</v>
      </c>
      <c r="P113" s="379" t="n">
        <v>0</v>
      </c>
      <c r="Q113" s="379" t="n">
        <v>0</v>
      </c>
      <c r="R113" s="379" t="n">
        <v>0</v>
      </c>
      <c r="S113" s="379" t="n">
        <v>0</v>
      </c>
      <c r="T113" s="379" t="n">
        <v>0</v>
      </c>
      <c r="U113" s="379" t="n">
        <v>0</v>
      </c>
      <c r="V113" s="379" t="n">
        <v>0</v>
      </c>
      <c r="X113" s="380"/>
      <c r="Y113" s="381" t="n">
        <f aca="false">IF(C113=0,"",LN(C113))</f>
        <v>0</v>
      </c>
      <c r="Z113" s="381" t="str">
        <f aca="false">IF(D113=0,"",LN(D113))</f>
        <v/>
      </c>
      <c r="AA113" s="381" t="str">
        <f aca="false">IF(E113=0,"",LN(E113))</f>
        <v/>
      </c>
      <c r="AB113" s="381" t="str">
        <f aca="false">IF(F113=0,"",LN(F113))</f>
        <v/>
      </c>
      <c r="AC113" s="381" t="str">
        <f aca="false">IF(G113=0,"",LN(G113))</f>
        <v/>
      </c>
      <c r="AD113" s="381" t="str">
        <f aca="false">IF(H113=0,"",LN(H113))</f>
        <v/>
      </c>
      <c r="AE113" s="381" t="str">
        <f aca="false">IF(I113=0,"",LN(I113))</f>
        <v/>
      </c>
      <c r="AF113" s="381" t="str">
        <f aca="false">IF(J113=0,"",LN(J113))</f>
        <v/>
      </c>
      <c r="AG113" s="381" t="str">
        <f aca="false">IF(K113=0,"",LN(K113))</f>
        <v/>
      </c>
      <c r="AI113" s="380"/>
      <c r="AJ113" s="381" t="n">
        <f aca="false">IF(N113=0,"",LN(N113))</f>
        <v>0</v>
      </c>
      <c r="AK113" s="381" t="str">
        <f aca="false">IF(O113=0,"",LN(O113))</f>
        <v/>
      </c>
      <c r="AL113" s="381" t="str">
        <f aca="false">IF(P113=0,"",LN(P113))</f>
        <v/>
      </c>
      <c r="AM113" s="381" t="str">
        <f aca="false">IF(Q113=0,"",LN(Q113))</f>
        <v/>
      </c>
      <c r="AN113" s="381" t="str">
        <f aca="false">IF(R113=0,"",LN(R113))</f>
        <v/>
      </c>
      <c r="AO113" s="381" t="str">
        <f aca="false">IF(S113=0,"",LN(S113))</f>
        <v/>
      </c>
      <c r="AP113" s="381" t="str">
        <f aca="false">IF(T113=0,"",LN(T113))</f>
        <v/>
      </c>
      <c r="AQ113" s="381" t="str">
        <f aca="false">IF(U113=0,"",LN(U113))</f>
        <v/>
      </c>
      <c r="AR113" s="381" t="str">
        <f aca="false">IF(V113=0,"",LN(V113))</f>
        <v/>
      </c>
    </row>
    <row r="114" customFormat="false" ht="12" hidden="false" customHeight="false" outlineLevel="0" collapsed="false">
      <c r="A114" s="358" t="n">
        <v>2</v>
      </c>
      <c r="B114" s="379" t="n">
        <v>1</v>
      </c>
      <c r="C114" s="378" t="n">
        <v>1</v>
      </c>
      <c r="D114" s="379" t="n">
        <v>0</v>
      </c>
      <c r="E114" s="379" t="n">
        <v>0</v>
      </c>
      <c r="F114" s="379" t="n">
        <v>0</v>
      </c>
      <c r="G114" s="379" t="n">
        <v>0</v>
      </c>
      <c r="H114" s="379" t="n">
        <v>0</v>
      </c>
      <c r="I114" s="379" t="n">
        <v>0</v>
      </c>
      <c r="J114" s="379" t="n">
        <v>0</v>
      </c>
      <c r="K114" s="379" t="n">
        <v>0</v>
      </c>
      <c r="L114" s="358" t="n">
        <v>2</v>
      </c>
      <c r="M114" s="379" t="n">
        <v>1</v>
      </c>
      <c r="N114" s="378" t="n">
        <v>1</v>
      </c>
      <c r="O114" s="379" t="n">
        <v>0</v>
      </c>
      <c r="P114" s="379" t="n">
        <v>0</v>
      </c>
      <c r="Q114" s="379" t="n">
        <v>0</v>
      </c>
      <c r="R114" s="379" t="n">
        <v>0</v>
      </c>
      <c r="S114" s="379" t="n">
        <v>0</v>
      </c>
      <c r="T114" s="379" t="n">
        <v>0</v>
      </c>
      <c r="U114" s="379" t="n">
        <v>0</v>
      </c>
      <c r="V114" s="379" t="n">
        <v>0</v>
      </c>
      <c r="X114" s="381"/>
      <c r="Y114" s="380"/>
      <c r="Z114" s="381" t="str">
        <f aca="false">IF(D114=0,"",LN(D114))</f>
        <v/>
      </c>
      <c r="AA114" s="381" t="str">
        <f aca="false">IF(E114=0,"",LN(E114))</f>
        <v/>
      </c>
      <c r="AB114" s="381" t="str">
        <f aca="false">IF(F114=0,"",LN(F114))</f>
        <v/>
      </c>
      <c r="AC114" s="381" t="str">
        <f aca="false">IF(G114=0,"",LN(G114))</f>
        <v/>
      </c>
      <c r="AD114" s="381" t="str">
        <f aca="false">IF(H114=0,"",LN(H114))</f>
        <v/>
      </c>
      <c r="AE114" s="381" t="str">
        <f aca="false">IF(I114=0,"",LN(I114))</f>
        <v/>
      </c>
      <c r="AF114" s="381" t="str">
        <f aca="false">IF(J114=0,"",LN(J114))</f>
        <v/>
      </c>
      <c r="AG114" s="381" t="str">
        <f aca="false">IF(K114=0,"",LN(K114))</f>
        <v/>
      </c>
      <c r="AI114" s="381"/>
      <c r="AJ114" s="380"/>
      <c r="AK114" s="381" t="str">
        <f aca="false">IF(O114=0,"",LN(O114))</f>
        <v/>
      </c>
      <c r="AL114" s="381" t="str">
        <f aca="false">IF(P114=0,"",LN(P114))</f>
        <v/>
      </c>
      <c r="AM114" s="381" t="str">
        <f aca="false">IF(Q114=0,"",LN(Q114))</f>
        <v/>
      </c>
      <c r="AN114" s="381" t="str">
        <f aca="false">IF(R114=0,"",LN(R114))</f>
        <v/>
      </c>
      <c r="AO114" s="381" t="str">
        <f aca="false">IF(S114=0,"",LN(S114))</f>
        <v/>
      </c>
      <c r="AP114" s="381" t="str">
        <f aca="false">IF(T114=0,"",LN(T114))</f>
        <v/>
      </c>
      <c r="AQ114" s="381" t="str">
        <f aca="false">IF(U114=0,"",LN(U114))</f>
        <v/>
      </c>
      <c r="AR114" s="381" t="str">
        <f aca="false">IF(V114=0,"",LN(V114))</f>
        <v/>
      </c>
    </row>
    <row r="115" customFormat="false" ht="12" hidden="false" customHeight="false" outlineLevel="0" collapsed="false">
      <c r="A115" s="358" t="n">
        <v>3</v>
      </c>
      <c r="B115" s="379" t="n">
        <v>0</v>
      </c>
      <c r="C115" s="379" t="n">
        <v>0</v>
      </c>
      <c r="D115" s="378" t="n">
        <v>1</v>
      </c>
      <c r="E115" s="379" t="n">
        <v>0</v>
      </c>
      <c r="F115" s="379" t="n">
        <v>0</v>
      </c>
      <c r="G115" s="379" t="n">
        <v>0</v>
      </c>
      <c r="H115" s="379" t="n">
        <v>0</v>
      </c>
      <c r="I115" s="379" t="n">
        <v>0</v>
      </c>
      <c r="J115" s="379" t="n">
        <v>0</v>
      </c>
      <c r="K115" s="379" t="n">
        <v>0</v>
      </c>
      <c r="L115" s="358" t="n">
        <v>3</v>
      </c>
      <c r="M115" s="379" t="n">
        <v>0</v>
      </c>
      <c r="N115" s="379" t="n">
        <v>0</v>
      </c>
      <c r="O115" s="378" t="n">
        <v>1</v>
      </c>
      <c r="P115" s="379" t="n">
        <v>0</v>
      </c>
      <c r="Q115" s="379" t="n">
        <v>0</v>
      </c>
      <c r="R115" s="379" t="n">
        <v>0</v>
      </c>
      <c r="S115" s="379" t="n">
        <v>0</v>
      </c>
      <c r="T115" s="379" t="n">
        <v>0</v>
      </c>
      <c r="U115" s="379" t="n">
        <v>0</v>
      </c>
      <c r="V115" s="379" t="n">
        <v>0</v>
      </c>
      <c r="X115" s="381"/>
      <c r="Y115" s="381"/>
      <c r="Z115" s="380"/>
      <c r="AA115" s="381" t="str">
        <f aca="false">IF(E115=0,"",LN(E115))</f>
        <v/>
      </c>
      <c r="AB115" s="381" t="str">
        <f aca="false">IF(F115=0,"",LN(F115))</f>
        <v/>
      </c>
      <c r="AC115" s="381" t="str">
        <f aca="false">IF(G115=0,"",LN(G115))</f>
        <v/>
      </c>
      <c r="AD115" s="381" t="str">
        <f aca="false">IF(H115=0,"",LN(H115))</f>
        <v/>
      </c>
      <c r="AE115" s="381" t="str">
        <f aca="false">IF(I115=0,"",LN(I115))</f>
        <v/>
      </c>
      <c r="AF115" s="381" t="str">
        <f aca="false">IF(J115=0,"",LN(J115))</f>
        <v/>
      </c>
      <c r="AG115" s="381" t="str">
        <f aca="false">IF(K115=0,"",LN(K115))</f>
        <v/>
      </c>
      <c r="AI115" s="381"/>
      <c r="AJ115" s="381"/>
      <c r="AK115" s="380"/>
      <c r="AL115" s="381" t="str">
        <f aca="false">IF(P115=0,"",LN(P115))</f>
        <v/>
      </c>
      <c r="AM115" s="381" t="str">
        <f aca="false">IF(Q115=0,"",LN(Q115))</f>
        <v/>
      </c>
      <c r="AN115" s="381" t="str">
        <f aca="false">IF(R115=0,"",LN(R115))</f>
        <v/>
      </c>
      <c r="AO115" s="381" t="str">
        <f aca="false">IF(S115=0,"",LN(S115))</f>
        <v/>
      </c>
      <c r="AP115" s="381" t="str">
        <f aca="false">IF(T115=0,"",LN(T115))</f>
        <v/>
      </c>
      <c r="AQ115" s="381" t="str">
        <f aca="false">IF(U115=0,"",LN(U115))</f>
        <v/>
      </c>
      <c r="AR115" s="381" t="str">
        <f aca="false">IF(V115=0,"",LN(V115))</f>
        <v/>
      </c>
    </row>
    <row r="116" customFormat="false" ht="12" hidden="false" customHeight="false" outlineLevel="0" collapsed="false">
      <c r="A116" s="358" t="n">
        <v>4</v>
      </c>
      <c r="B116" s="379" t="n">
        <v>0</v>
      </c>
      <c r="C116" s="379" t="n">
        <v>0</v>
      </c>
      <c r="D116" s="379" t="n">
        <v>0</v>
      </c>
      <c r="E116" s="378" t="n">
        <v>1</v>
      </c>
      <c r="F116" s="379" t="n">
        <v>0</v>
      </c>
      <c r="G116" s="379" t="n">
        <v>0</v>
      </c>
      <c r="H116" s="379" t="n">
        <v>0</v>
      </c>
      <c r="I116" s="379" t="n">
        <v>0</v>
      </c>
      <c r="J116" s="379" t="n">
        <v>0</v>
      </c>
      <c r="K116" s="379" t="n">
        <v>0</v>
      </c>
      <c r="L116" s="358" t="n">
        <v>4</v>
      </c>
      <c r="M116" s="379" t="n">
        <v>0</v>
      </c>
      <c r="N116" s="379" t="n">
        <v>0</v>
      </c>
      <c r="O116" s="379" t="n">
        <v>0</v>
      </c>
      <c r="P116" s="378" t="n">
        <v>1</v>
      </c>
      <c r="Q116" s="379" t="n">
        <v>0</v>
      </c>
      <c r="R116" s="379" t="n">
        <v>0</v>
      </c>
      <c r="S116" s="379" t="n">
        <v>0</v>
      </c>
      <c r="T116" s="379" t="n">
        <v>0</v>
      </c>
      <c r="U116" s="379" t="n">
        <v>0</v>
      </c>
      <c r="V116" s="379" t="n">
        <v>0</v>
      </c>
      <c r="X116" s="381"/>
      <c r="Y116" s="381"/>
      <c r="Z116" s="381"/>
      <c r="AA116" s="380"/>
      <c r="AB116" s="381" t="str">
        <f aca="false">IF(F116=0,"",LN(F116))</f>
        <v/>
      </c>
      <c r="AC116" s="381" t="str">
        <f aca="false">IF(G116=0,"",LN(G116))</f>
        <v/>
      </c>
      <c r="AD116" s="381" t="str">
        <f aca="false">IF(H116=0,"",LN(H116))</f>
        <v/>
      </c>
      <c r="AE116" s="381" t="str">
        <f aca="false">IF(I116=0,"",LN(I116))</f>
        <v/>
      </c>
      <c r="AF116" s="381" t="str">
        <f aca="false">IF(J116=0,"",LN(J116))</f>
        <v/>
      </c>
      <c r="AG116" s="381" t="str">
        <f aca="false">IF(K116=0,"",LN(K116))</f>
        <v/>
      </c>
      <c r="AI116" s="381"/>
      <c r="AJ116" s="381"/>
      <c r="AK116" s="381"/>
      <c r="AL116" s="380"/>
      <c r="AM116" s="381" t="str">
        <f aca="false">IF(Q116=0,"",LN(Q116))</f>
        <v/>
      </c>
      <c r="AN116" s="381" t="str">
        <f aca="false">IF(R116=0,"",LN(R116))</f>
        <v/>
      </c>
      <c r="AO116" s="381" t="str">
        <f aca="false">IF(S116=0,"",LN(S116))</f>
        <v/>
      </c>
      <c r="AP116" s="381" t="str">
        <f aca="false">IF(T116=0,"",LN(T116))</f>
        <v/>
      </c>
      <c r="AQ116" s="381" t="str">
        <f aca="false">IF(U116=0,"",LN(U116))</f>
        <v/>
      </c>
      <c r="AR116" s="381" t="str">
        <f aca="false">IF(V116=0,"",LN(V116))</f>
        <v/>
      </c>
    </row>
    <row r="117" customFormat="false" ht="12" hidden="false" customHeight="false" outlineLevel="0" collapsed="false">
      <c r="A117" s="358" t="n">
        <v>5</v>
      </c>
      <c r="B117" s="379" t="n">
        <v>0</v>
      </c>
      <c r="C117" s="379" t="n">
        <v>0</v>
      </c>
      <c r="D117" s="379" t="n">
        <v>0</v>
      </c>
      <c r="E117" s="379" t="n">
        <v>0</v>
      </c>
      <c r="F117" s="378" t="n">
        <v>1</v>
      </c>
      <c r="G117" s="379" t="n">
        <v>0</v>
      </c>
      <c r="H117" s="379" t="n">
        <v>0</v>
      </c>
      <c r="I117" s="379" t="n">
        <v>0</v>
      </c>
      <c r="J117" s="379" t="n">
        <v>0</v>
      </c>
      <c r="K117" s="379" t="n">
        <v>0</v>
      </c>
      <c r="L117" s="358" t="n">
        <v>5</v>
      </c>
      <c r="M117" s="379" t="n">
        <v>0</v>
      </c>
      <c r="N117" s="379" t="n">
        <v>0</v>
      </c>
      <c r="O117" s="379" t="n">
        <v>0</v>
      </c>
      <c r="P117" s="379" t="n">
        <v>0</v>
      </c>
      <c r="Q117" s="378" t="n">
        <v>1</v>
      </c>
      <c r="R117" s="379" t="n">
        <v>0</v>
      </c>
      <c r="S117" s="379" t="n">
        <v>0</v>
      </c>
      <c r="T117" s="379" t="n">
        <v>0</v>
      </c>
      <c r="U117" s="379" t="n">
        <v>0</v>
      </c>
      <c r="V117" s="379" t="n">
        <v>0</v>
      </c>
      <c r="X117" s="381"/>
      <c r="Y117" s="381"/>
      <c r="Z117" s="381"/>
      <c r="AA117" s="381"/>
      <c r="AB117" s="380"/>
      <c r="AC117" s="381" t="str">
        <f aca="false">IF(G117=0,"",LN(G117))</f>
        <v/>
      </c>
      <c r="AD117" s="381" t="str">
        <f aca="false">IF(H117=0,"",LN(H117))</f>
        <v/>
      </c>
      <c r="AE117" s="381" t="str">
        <f aca="false">IF(I117=0,"",LN(I117))</f>
        <v/>
      </c>
      <c r="AF117" s="381" t="str">
        <f aca="false">IF(J117=0,"",LN(J117))</f>
        <v/>
      </c>
      <c r="AG117" s="381" t="str">
        <f aca="false">IF(K117=0,"",LN(K117))</f>
        <v/>
      </c>
      <c r="AI117" s="381"/>
      <c r="AJ117" s="381"/>
      <c r="AK117" s="381"/>
      <c r="AL117" s="381"/>
      <c r="AM117" s="380"/>
      <c r="AN117" s="381" t="str">
        <f aca="false">IF(R117=0,"",LN(R117))</f>
        <v/>
      </c>
      <c r="AO117" s="381" t="str">
        <f aca="false">IF(S117=0,"",LN(S117))</f>
        <v/>
      </c>
      <c r="AP117" s="381" t="str">
        <f aca="false">IF(T117=0,"",LN(T117))</f>
        <v/>
      </c>
      <c r="AQ117" s="381" t="str">
        <f aca="false">IF(U117=0,"",LN(U117))</f>
        <v/>
      </c>
      <c r="AR117" s="381" t="str">
        <f aca="false">IF(V117=0,"",LN(V117))</f>
        <v/>
      </c>
    </row>
    <row r="118" customFormat="false" ht="12" hidden="false" customHeight="false" outlineLevel="0" collapsed="false">
      <c r="A118" s="358" t="n">
        <v>6</v>
      </c>
      <c r="B118" s="379" t="n">
        <v>0</v>
      </c>
      <c r="C118" s="379" t="n">
        <v>0</v>
      </c>
      <c r="D118" s="379" t="n">
        <v>0</v>
      </c>
      <c r="E118" s="379" t="n">
        <v>0</v>
      </c>
      <c r="F118" s="379" t="n">
        <v>0</v>
      </c>
      <c r="G118" s="378" t="n">
        <v>1</v>
      </c>
      <c r="H118" s="379" t="n">
        <v>0</v>
      </c>
      <c r="I118" s="379" t="n">
        <v>0</v>
      </c>
      <c r="J118" s="379" t="n">
        <v>0</v>
      </c>
      <c r="K118" s="379" t="n">
        <v>0</v>
      </c>
      <c r="L118" s="358" t="n">
        <v>6</v>
      </c>
      <c r="M118" s="379" t="n">
        <v>0</v>
      </c>
      <c r="N118" s="379" t="n">
        <v>0</v>
      </c>
      <c r="O118" s="379" t="n">
        <v>0</v>
      </c>
      <c r="P118" s="379" t="n">
        <v>0</v>
      </c>
      <c r="Q118" s="379" t="n">
        <v>0</v>
      </c>
      <c r="R118" s="378" t="n">
        <v>1</v>
      </c>
      <c r="S118" s="379" t="n">
        <v>0</v>
      </c>
      <c r="T118" s="379" t="n">
        <v>0</v>
      </c>
      <c r="U118" s="379" t="n">
        <v>0</v>
      </c>
      <c r="V118" s="379" t="n">
        <v>0</v>
      </c>
      <c r="X118" s="381"/>
      <c r="Y118" s="381"/>
      <c r="Z118" s="381"/>
      <c r="AA118" s="381"/>
      <c r="AB118" s="381"/>
      <c r="AC118" s="380"/>
      <c r="AD118" s="381" t="str">
        <f aca="false">IF(H118=0,"",LN(H118))</f>
        <v/>
      </c>
      <c r="AE118" s="381" t="str">
        <f aca="false">IF(I118=0,"",LN(I118))</f>
        <v/>
      </c>
      <c r="AF118" s="381" t="str">
        <f aca="false">IF(J118=0,"",LN(J118))</f>
        <v/>
      </c>
      <c r="AG118" s="381" t="str">
        <f aca="false">IF(K118=0,"",LN(K118))</f>
        <v/>
      </c>
      <c r="AI118" s="381"/>
      <c r="AJ118" s="381"/>
      <c r="AK118" s="381"/>
      <c r="AL118" s="381"/>
      <c r="AM118" s="381"/>
      <c r="AN118" s="380"/>
      <c r="AO118" s="381" t="str">
        <f aca="false">IF(S118=0,"",LN(S118))</f>
        <v/>
      </c>
      <c r="AP118" s="381" t="str">
        <f aca="false">IF(T118=0,"",LN(T118))</f>
        <v/>
      </c>
      <c r="AQ118" s="381" t="str">
        <f aca="false">IF(U118=0,"",LN(U118))</f>
        <v/>
      </c>
      <c r="AR118" s="381" t="str">
        <f aca="false">IF(V118=0,"",LN(V118))</f>
        <v/>
      </c>
    </row>
    <row r="119" customFormat="false" ht="12" hidden="false" customHeight="false" outlineLevel="0" collapsed="false">
      <c r="A119" s="358" t="n">
        <v>7</v>
      </c>
      <c r="B119" s="379" t="n">
        <v>0</v>
      </c>
      <c r="C119" s="379" t="n">
        <v>0</v>
      </c>
      <c r="D119" s="379" t="n">
        <v>0</v>
      </c>
      <c r="E119" s="379" t="n">
        <v>0</v>
      </c>
      <c r="F119" s="379" t="n">
        <v>0</v>
      </c>
      <c r="G119" s="379" t="n">
        <v>0</v>
      </c>
      <c r="H119" s="378" t="n">
        <v>1</v>
      </c>
      <c r="I119" s="379" t="n">
        <v>0</v>
      </c>
      <c r="J119" s="379" t="n">
        <v>0</v>
      </c>
      <c r="K119" s="379" t="n">
        <v>0</v>
      </c>
      <c r="L119" s="358" t="n">
        <v>7</v>
      </c>
      <c r="M119" s="379" t="n">
        <v>0</v>
      </c>
      <c r="N119" s="379" t="n">
        <v>0</v>
      </c>
      <c r="O119" s="379" t="n">
        <v>0</v>
      </c>
      <c r="P119" s="379" t="n">
        <v>0</v>
      </c>
      <c r="Q119" s="379" t="n">
        <v>0</v>
      </c>
      <c r="R119" s="379" t="n">
        <v>0</v>
      </c>
      <c r="S119" s="378" t="n">
        <v>1</v>
      </c>
      <c r="T119" s="379" t="n">
        <v>0</v>
      </c>
      <c r="U119" s="379" t="n">
        <v>0</v>
      </c>
      <c r="V119" s="379" t="n">
        <v>0</v>
      </c>
      <c r="X119" s="381"/>
      <c r="Y119" s="381"/>
      <c r="Z119" s="381"/>
      <c r="AA119" s="381"/>
      <c r="AB119" s="381"/>
      <c r="AC119" s="381"/>
      <c r="AD119" s="380"/>
      <c r="AE119" s="381" t="str">
        <f aca="false">IF(I119=0,"",LN(I119))</f>
        <v/>
      </c>
      <c r="AF119" s="381" t="str">
        <f aca="false">IF(J119=0,"",LN(J119))</f>
        <v/>
      </c>
      <c r="AG119" s="381" t="str">
        <f aca="false">IF(K119=0,"",LN(K119))</f>
        <v/>
      </c>
      <c r="AI119" s="381"/>
      <c r="AJ119" s="381"/>
      <c r="AK119" s="381"/>
      <c r="AL119" s="381"/>
      <c r="AM119" s="381"/>
      <c r="AN119" s="381"/>
      <c r="AO119" s="380"/>
      <c r="AP119" s="381" t="str">
        <f aca="false">IF(T119=0,"",LN(T119))</f>
        <v/>
      </c>
      <c r="AQ119" s="381" t="str">
        <f aca="false">IF(U119=0,"",LN(U119))</f>
        <v/>
      </c>
      <c r="AR119" s="381" t="str">
        <f aca="false">IF(V119=0,"",LN(V119))</f>
        <v/>
      </c>
    </row>
    <row r="120" customFormat="false" ht="12" hidden="false" customHeight="false" outlineLevel="0" collapsed="false">
      <c r="A120" s="358" t="n">
        <v>8</v>
      </c>
      <c r="B120" s="379" t="n">
        <v>0</v>
      </c>
      <c r="C120" s="379" t="n">
        <v>0</v>
      </c>
      <c r="D120" s="379" t="n">
        <v>0</v>
      </c>
      <c r="E120" s="379" t="n">
        <v>0</v>
      </c>
      <c r="F120" s="379" t="n">
        <v>0</v>
      </c>
      <c r="G120" s="379" t="n">
        <v>0</v>
      </c>
      <c r="H120" s="379" t="n">
        <v>0</v>
      </c>
      <c r="I120" s="378" t="n">
        <v>1</v>
      </c>
      <c r="J120" s="379" t="n">
        <v>0</v>
      </c>
      <c r="K120" s="379" t="n">
        <v>0</v>
      </c>
      <c r="L120" s="358" t="n">
        <v>8</v>
      </c>
      <c r="M120" s="379" t="n">
        <v>0</v>
      </c>
      <c r="N120" s="379" t="n">
        <v>0</v>
      </c>
      <c r="O120" s="379" t="n">
        <v>0</v>
      </c>
      <c r="P120" s="379" t="n">
        <v>0</v>
      </c>
      <c r="Q120" s="379" t="n">
        <v>0</v>
      </c>
      <c r="R120" s="379" t="n">
        <v>0</v>
      </c>
      <c r="S120" s="379" t="n">
        <v>0</v>
      </c>
      <c r="T120" s="378" t="n">
        <v>1</v>
      </c>
      <c r="U120" s="379" t="n">
        <v>0</v>
      </c>
      <c r="V120" s="379" t="n">
        <v>0</v>
      </c>
      <c r="X120" s="381"/>
      <c r="Y120" s="381"/>
      <c r="Z120" s="381"/>
      <c r="AA120" s="381"/>
      <c r="AB120" s="381"/>
      <c r="AC120" s="381"/>
      <c r="AD120" s="381"/>
      <c r="AE120" s="380"/>
      <c r="AF120" s="381" t="str">
        <f aca="false">IF(J120=0,"",LN(J120))</f>
        <v/>
      </c>
      <c r="AG120" s="381" t="str">
        <f aca="false">IF(K120=0,"",LN(K120))</f>
        <v/>
      </c>
      <c r="AI120" s="381"/>
      <c r="AJ120" s="381"/>
      <c r="AK120" s="381"/>
      <c r="AL120" s="381"/>
      <c r="AM120" s="381"/>
      <c r="AN120" s="381"/>
      <c r="AO120" s="381"/>
      <c r="AP120" s="380"/>
      <c r="AQ120" s="381" t="str">
        <f aca="false">IF(U120=0,"",LN(U120))</f>
        <v/>
      </c>
      <c r="AR120" s="381" t="str">
        <f aca="false">IF(V120=0,"",LN(V120))</f>
        <v/>
      </c>
    </row>
    <row r="121" customFormat="false" ht="12" hidden="false" customHeight="false" outlineLevel="0" collapsed="false">
      <c r="A121" s="358" t="n">
        <v>9</v>
      </c>
      <c r="B121" s="379" t="n">
        <v>0</v>
      </c>
      <c r="C121" s="379" t="n">
        <v>0</v>
      </c>
      <c r="D121" s="379" t="n">
        <v>0</v>
      </c>
      <c r="E121" s="379" t="n">
        <v>0</v>
      </c>
      <c r="F121" s="379" t="n">
        <v>0</v>
      </c>
      <c r="G121" s="379" t="n">
        <v>0</v>
      </c>
      <c r="H121" s="379" t="n">
        <v>0</v>
      </c>
      <c r="I121" s="379" t="n">
        <v>0</v>
      </c>
      <c r="J121" s="378" t="n">
        <v>1</v>
      </c>
      <c r="K121" s="379" t="n">
        <v>0</v>
      </c>
      <c r="L121" s="358" t="n">
        <v>9</v>
      </c>
      <c r="M121" s="379" t="n">
        <v>0</v>
      </c>
      <c r="N121" s="379" t="n">
        <v>0</v>
      </c>
      <c r="O121" s="379" t="n">
        <v>0</v>
      </c>
      <c r="P121" s="379" t="n">
        <v>0</v>
      </c>
      <c r="Q121" s="379" t="n">
        <v>0</v>
      </c>
      <c r="R121" s="379" t="n">
        <v>0</v>
      </c>
      <c r="S121" s="379" t="n">
        <v>0</v>
      </c>
      <c r="T121" s="379" t="n">
        <v>0</v>
      </c>
      <c r="U121" s="378" t="n">
        <v>1</v>
      </c>
      <c r="V121" s="379" t="n">
        <v>0</v>
      </c>
      <c r="X121" s="381"/>
      <c r="Y121" s="381"/>
      <c r="Z121" s="381"/>
      <c r="AA121" s="381"/>
      <c r="AB121" s="381"/>
      <c r="AC121" s="381"/>
      <c r="AD121" s="381"/>
      <c r="AE121" s="381"/>
      <c r="AF121" s="380"/>
      <c r="AG121" s="381" t="str">
        <f aca="false">IF(K121=0,"",LN(K121))</f>
        <v/>
      </c>
      <c r="AI121" s="381"/>
      <c r="AJ121" s="381"/>
      <c r="AK121" s="381"/>
      <c r="AL121" s="381"/>
      <c r="AM121" s="381"/>
      <c r="AN121" s="381"/>
      <c r="AO121" s="381"/>
      <c r="AP121" s="381"/>
      <c r="AQ121" s="380"/>
      <c r="AR121" s="381" t="str">
        <f aca="false">IF(V121=0,"",LN(V121))</f>
        <v/>
      </c>
    </row>
    <row r="122" customFormat="false" ht="12" hidden="false" customHeight="false" outlineLevel="0" collapsed="false">
      <c r="A122" s="358" t="n">
        <v>10</v>
      </c>
      <c r="B122" s="379" t="n">
        <v>0</v>
      </c>
      <c r="C122" s="379" t="n">
        <v>0</v>
      </c>
      <c r="D122" s="379" t="n">
        <v>0</v>
      </c>
      <c r="E122" s="379" t="n">
        <v>0</v>
      </c>
      <c r="F122" s="379" t="n">
        <v>0</v>
      </c>
      <c r="G122" s="379" t="n">
        <v>0</v>
      </c>
      <c r="H122" s="379" t="n">
        <v>0</v>
      </c>
      <c r="I122" s="379" t="n">
        <v>0</v>
      </c>
      <c r="J122" s="379" t="n">
        <v>0</v>
      </c>
      <c r="K122" s="378" t="n">
        <v>1</v>
      </c>
      <c r="L122" s="358" t="n">
        <v>10</v>
      </c>
      <c r="M122" s="379" t="n">
        <v>0</v>
      </c>
      <c r="N122" s="379" t="n">
        <v>0</v>
      </c>
      <c r="O122" s="379" t="n">
        <v>0</v>
      </c>
      <c r="P122" s="379" t="n">
        <v>0</v>
      </c>
      <c r="Q122" s="379" t="n">
        <v>0</v>
      </c>
      <c r="R122" s="379" t="n">
        <v>0</v>
      </c>
      <c r="S122" s="379" t="n">
        <v>0</v>
      </c>
      <c r="T122" s="379" t="n">
        <v>0</v>
      </c>
      <c r="U122" s="379" t="n">
        <v>0</v>
      </c>
      <c r="V122" s="378" t="n">
        <v>1</v>
      </c>
      <c r="X122" s="381"/>
      <c r="Y122" s="381"/>
      <c r="Z122" s="381"/>
      <c r="AA122" s="381"/>
      <c r="AB122" s="381"/>
      <c r="AC122" s="381"/>
      <c r="AD122" s="381"/>
      <c r="AE122" s="381"/>
      <c r="AF122" s="381"/>
      <c r="AG122" s="380"/>
      <c r="AI122" s="381"/>
      <c r="AJ122" s="381"/>
      <c r="AK122" s="381"/>
      <c r="AL122" s="381"/>
      <c r="AM122" s="381"/>
      <c r="AN122" s="381"/>
      <c r="AO122" s="381"/>
      <c r="AP122" s="381"/>
      <c r="AQ122" s="381"/>
      <c r="AR122" s="380"/>
    </row>
    <row r="124" customFormat="false" ht="12.75" hidden="false" customHeight="false" outlineLevel="0" collapsed="false">
      <c r="A124" s="369" t="n">
        <v>18</v>
      </c>
      <c r="B124" s="370" t="str">
        <f aca="true">INDIRECT(ADDRESS(17,2,1,1,"in"&amp;TEXT(A124,"@")))</f>
        <v>Participant 18</v>
      </c>
      <c r="C124" s="370"/>
      <c r="D124" s="370"/>
      <c r="E124" s="370"/>
      <c r="F124" s="370"/>
      <c r="G124" s="370"/>
      <c r="H124" s="371" t="n">
        <f aca="true">INDIRECT(ADDRESS(17,6,1,1,"in"&amp;TEXT(A124,"@")))</f>
        <v>1</v>
      </c>
      <c r="I124" s="372"/>
      <c r="J124" s="373" t="n">
        <f aca="true">INDIRECT(ADDRESS(17,7,1,1,"in"&amp;TEXT(A124,"@")))</f>
        <v>0</v>
      </c>
      <c r="K124" s="373"/>
      <c r="L124" s="369" t="n">
        <v>19</v>
      </c>
      <c r="M124" s="370" t="str">
        <f aca="true">INDIRECT(ADDRESS(17,2,1,1,"in"&amp;TEXT(L124,"@")))</f>
        <v>Participant 19</v>
      </c>
      <c r="N124" s="370"/>
      <c r="O124" s="370"/>
      <c r="P124" s="370"/>
      <c r="Q124" s="370"/>
      <c r="R124" s="370"/>
      <c r="S124" s="371" t="n">
        <f aca="true">INDIRECT(ADDRESS(17,6,1,1,"in"&amp;TEXT(L124,"@")))</f>
        <v>1</v>
      </c>
      <c r="T124" s="372"/>
      <c r="U124" s="373" t="n">
        <f aca="true">INDIRECT(ADDRESS(17,7,1,1,"in"&amp;TEXT(L124,"@")))</f>
        <v>0</v>
      </c>
      <c r="V124" s="373"/>
      <c r="X124" s="370"/>
      <c r="Y124" s="370"/>
      <c r="Z124" s="370"/>
      <c r="AA124" s="370"/>
      <c r="AB124" s="370"/>
      <c r="AC124" s="370"/>
      <c r="AD124" s="375" t="n">
        <f aca="false">IF(A124&gt;$N$4,0,IF(H124=0,1,H124))</f>
        <v>0</v>
      </c>
      <c r="AE124" s="375"/>
      <c r="AF124" s="373"/>
      <c r="AG124" s="373"/>
      <c r="AI124" s="370"/>
      <c r="AJ124" s="370"/>
      <c r="AK124" s="370"/>
      <c r="AL124" s="370"/>
      <c r="AM124" s="370"/>
      <c r="AN124" s="370"/>
      <c r="AO124" s="375" t="n">
        <f aca="false">IF(L124&gt;$N$4,0,IF(S124=0,1,S124))</f>
        <v>0</v>
      </c>
      <c r="AP124" s="375"/>
      <c r="AQ124" s="373"/>
      <c r="AR124" s="373"/>
    </row>
    <row r="125" customFormat="false" ht="12" hidden="false" customHeight="false" outlineLevel="0" collapsed="false">
      <c r="B125" s="376" t="n">
        <v>1</v>
      </c>
      <c r="C125" s="376" t="n">
        <v>2</v>
      </c>
      <c r="D125" s="376" t="n">
        <v>3</v>
      </c>
      <c r="E125" s="376" t="n">
        <v>4</v>
      </c>
      <c r="F125" s="376" t="n">
        <v>5</v>
      </c>
      <c r="G125" s="376" t="n">
        <v>6</v>
      </c>
      <c r="H125" s="376" t="n">
        <v>7</v>
      </c>
      <c r="I125" s="376" t="n">
        <v>8</v>
      </c>
      <c r="J125" s="358" t="n">
        <v>9</v>
      </c>
      <c r="K125" s="358" t="n">
        <v>10</v>
      </c>
      <c r="M125" s="376" t="n">
        <v>1</v>
      </c>
      <c r="N125" s="376" t="n">
        <v>2</v>
      </c>
      <c r="O125" s="376" t="n">
        <v>3</v>
      </c>
      <c r="P125" s="376" t="n">
        <v>4</v>
      </c>
      <c r="Q125" s="376" t="n">
        <v>5</v>
      </c>
      <c r="R125" s="376" t="n">
        <v>6</v>
      </c>
      <c r="S125" s="376" t="n">
        <v>7</v>
      </c>
      <c r="T125" s="376" t="n">
        <v>8</v>
      </c>
      <c r="U125" s="358" t="n">
        <v>9</v>
      </c>
      <c r="V125" s="358" t="n">
        <v>10</v>
      </c>
      <c r="X125" s="376"/>
      <c r="Y125" s="376"/>
      <c r="Z125" s="376"/>
      <c r="AA125" s="376"/>
      <c r="AB125" s="376"/>
      <c r="AC125" s="376"/>
      <c r="AD125" s="376"/>
      <c r="AE125" s="376"/>
      <c r="AI125" s="376"/>
      <c r="AJ125" s="376"/>
      <c r="AK125" s="376"/>
      <c r="AL125" s="376"/>
      <c r="AM125" s="376"/>
      <c r="AN125" s="376"/>
      <c r="AO125" s="376"/>
      <c r="AP125" s="376"/>
    </row>
    <row r="126" customFormat="false" ht="12" hidden="false" customHeight="false" outlineLevel="0" collapsed="false">
      <c r="A126" s="358" t="n">
        <v>1</v>
      </c>
      <c r="B126" s="378" t="n">
        <f aca="false" t="array" ref="B126:K135">Matrix18</f>
        <v>1</v>
      </c>
      <c r="C126" s="379" t="n">
        <v>1</v>
      </c>
      <c r="D126" s="379" t="n">
        <v>0</v>
      </c>
      <c r="E126" s="379" t="n">
        <v>0</v>
      </c>
      <c r="F126" s="379" t="n">
        <v>0</v>
      </c>
      <c r="G126" s="379" t="n">
        <v>0</v>
      </c>
      <c r="H126" s="379" t="n">
        <v>0</v>
      </c>
      <c r="I126" s="379" t="n">
        <v>0</v>
      </c>
      <c r="J126" s="379" t="n">
        <v>0</v>
      </c>
      <c r="K126" s="379" t="n">
        <v>0</v>
      </c>
      <c r="L126" s="358" t="n">
        <v>1</v>
      </c>
      <c r="M126" s="378" t="n">
        <f aca="false" t="array" ref="M126:V135">Matrix19</f>
        <v>1</v>
      </c>
      <c r="N126" s="379" t="n">
        <v>1</v>
      </c>
      <c r="O126" s="379" t="n">
        <v>0</v>
      </c>
      <c r="P126" s="379" t="n">
        <v>0</v>
      </c>
      <c r="Q126" s="379" t="n">
        <v>0</v>
      </c>
      <c r="R126" s="379" t="n">
        <v>0</v>
      </c>
      <c r="S126" s="379" t="n">
        <v>0</v>
      </c>
      <c r="T126" s="379" t="n">
        <v>0</v>
      </c>
      <c r="U126" s="379" t="n">
        <v>0</v>
      </c>
      <c r="V126" s="379" t="n">
        <v>0</v>
      </c>
      <c r="X126" s="380"/>
      <c r="Y126" s="381" t="n">
        <f aca="false">IF(C126=0,"",LN(C126))</f>
        <v>0</v>
      </c>
      <c r="Z126" s="381" t="str">
        <f aca="false">IF(D126=0,"",LN(D126))</f>
        <v/>
      </c>
      <c r="AA126" s="381" t="str">
        <f aca="false">IF(E126=0,"",LN(E126))</f>
        <v/>
      </c>
      <c r="AB126" s="381" t="str">
        <f aca="false">IF(F126=0,"",LN(F126))</f>
        <v/>
      </c>
      <c r="AC126" s="381" t="str">
        <f aca="false">IF(G126=0,"",LN(G126))</f>
        <v/>
      </c>
      <c r="AD126" s="381" t="str">
        <f aca="false">IF(H126=0,"",LN(H126))</f>
        <v/>
      </c>
      <c r="AE126" s="381" t="str">
        <f aca="false">IF(I126=0,"",LN(I126))</f>
        <v/>
      </c>
      <c r="AF126" s="381" t="str">
        <f aca="false">IF(J126=0,"",LN(J126))</f>
        <v/>
      </c>
      <c r="AG126" s="381" t="str">
        <f aca="false">IF(K126=0,"",LN(K126))</f>
        <v/>
      </c>
      <c r="AI126" s="380"/>
      <c r="AJ126" s="381" t="n">
        <f aca="false">IF(N126=0,"",LN(N126))</f>
        <v>0</v>
      </c>
      <c r="AK126" s="381" t="str">
        <f aca="false">IF(O126=0,"",LN(O126))</f>
        <v/>
      </c>
      <c r="AL126" s="381" t="str">
        <f aca="false">IF(P126=0,"",LN(P126))</f>
        <v/>
      </c>
      <c r="AM126" s="381" t="str">
        <f aca="false">IF(Q126=0,"",LN(Q126))</f>
        <v/>
      </c>
      <c r="AN126" s="381" t="str">
        <f aca="false">IF(R126=0,"",LN(R126))</f>
        <v/>
      </c>
      <c r="AO126" s="381" t="str">
        <f aca="false">IF(S126=0,"",LN(S126))</f>
        <v/>
      </c>
      <c r="AP126" s="381" t="str">
        <f aca="false">IF(T126=0,"",LN(T126))</f>
        <v/>
      </c>
      <c r="AQ126" s="381" t="str">
        <f aca="false">IF(U126=0,"",LN(U126))</f>
        <v/>
      </c>
      <c r="AR126" s="381" t="str">
        <f aca="false">IF(V126=0,"",LN(V126))</f>
        <v/>
      </c>
    </row>
    <row r="127" customFormat="false" ht="12" hidden="false" customHeight="false" outlineLevel="0" collapsed="false">
      <c r="A127" s="358" t="n">
        <v>2</v>
      </c>
      <c r="B127" s="379" t="n">
        <v>1</v>
      </c>
      <c r="C127" s="378" t="n">
        <v>1</v>
      </c>
      <c r="D127" s="379" t="n">
        <v>0</v>
      </c>
      <c r="E127" s="379" t="n">
        <v>0</v>
      </c>
      <c r="F127" s="379" t="n">
        <v>0</v>
      </c>
      <c r="G127" s="379" t="n">
        <v>0</v>
      </c>
      <c r="H127" s="379" t="n">
        <v>0</v>
      </c>
      <c r="I127" s="379" t="n">
        <v>0</v>
      </c>
      <c r="J127" s="379" t="n">
        <v>0</v>
      </c>
      <c r="K127" s="379" t="n">
        <v>0</v>
      </c>
      <c r="L127" s="358" t="n">
        <v>2</v>
      </c>
      <c r="M127" s="379" t="n">
        <v>1</v>
      </c>
      <c r="N127" s="378" t="n">
        <v>1</v>
      </c>
      <c r="O127" s="379" t="n">
        <v>0</v>
      </c>
      <c r="P127" s="379" t="n">
        <v>0</v>
      </c>
      <c r="Q127" s="379" t="n">
        <v>0</v>
      </c>
      <c r="R127" s="379" t="n">
        <v>0</v>
      </c>
      <c r="S127" s="379" t="n">
        <v>0</v>
      </c>
      <c r="T127" s="379" t="n">
        <v>0</v>
      </c>
      <c r="U127" s="379" t="n">
        <v>0</v>
      </c>
      <c r="V127" s="379" t="n">
        <v>0</v>
      </c>
      <c r="X127" s="381"/>
      <c r="Y127" s="380"/>
      <c r="Z127" s="381" t="str">
        <f aca="false">IF(D127=0,"",LN(D127))</f>
        <v/>
      </c>
      <c r="AA127" s="381" t="str">
        <f aca="false">IF(E127=0,"",LN(E127))</f>
        <v/>
      </c>
      <c r="AB127" s="381" t="str">
        <f aca="false">IF(F127=0,"",LN(F127))</f>
        <v/>
      </c>
      <c r="AC127" s="381" t="str">
        <f aca="false">IF(G127=0,"",LN(G127))</f>
        <v/>
      </c>
      <c r="AD127" s="381" t="str">
        <f aca="false">IF(H127=0,"",LN(H127))</f>
        <v/>
      </c>
      <c r="AE127" s="381" t="str">
        <f aca="false">IF(I127=0,"",LN(I127))</f>
        <v/>
      </c>
      <c r="AF127" s="381" t="str">
        <f aca="false">IF(J127=0,"",LN(J127))</f>
        <v/>
      </c>
      <c r="AG127" s="381" t="str">
        <f aca="false">IF(K127=0,"",LN(K127))</f>
        <v/>
      </c>
      <c r="AI127" s="381"/>
      <c r="AJ127" s="380"/>
      <c r="AK127" s="381" t="str">
        <f aca="false">IF(O127=0,"",LN(O127))</f>
        <v/>
      </c>
      <c r="AL127" s="381" t="str">
        <f aca="false">IF(P127=0,"",LN(P127))</f>
        <v/>
      </c>
      <c r="AM127" s="381" t="str">
        <f aca="false">IF(Q127=0,"",LN(Q127))</f>
        <v/>
      </c>
      <c r="AN127" s="381" t="str">
        <f aca="false">IF(R127=0,"",LN(R127))</f>
        <v/>
      </c>
      <c r="AO127" s="381" t="str">
        <f aca="false">IF(S127=0,"",LN(S127))</f>
        <v/>
      </c>
      <c r="AP127" s="381" t="str">
        <f aca="false">IF(T127=0,"",LN(T127))</f>
        <v/>
      </c>
      <c r="AQ127" s="381" t="str">
        <f aca="false">IF(U127=0,"",LN(U127))</f>
        <v/>
      </c>
      <c r="AR127" s="381" t="str">
        <f aca="false">IF(V127=0,"",LN(V127))</f>
        <v/>
      </c>
    </row>
    <row r="128" customFormat="false" ht="12" hidden="false" customHeight="false" outlineLevel="0" collapsed="false">
      <c r="A128" s="358" t="n">
        <v>3</v>
      </c>
      <c r="B128" s="379" t="n">
        <v>0</v>
      </c>
      <c r="C128" s="379" t="n">
        <v>0</v>
      </c>
      <c r="D128" s="378" t="n">
        <v>1</v>
      </c>
      <c r="E128" s="379" t="n">
        <v>0</v>
      </c>
      <c r="F128" s="379" t="n">
        <v>0</v>
      </c>
      <c r="G128" s="379" t="n">
        <v>0</v>
      </c>
      <c r="H128" s="379" t="n">
        <v>0</v>
      </c>
      <c r="I128" s="379" t="n">
        <v>0</v>
      </c>
      <c r="J128" s="379" t="n">
        <v>0</v>
      </c>
      <c r="K128" s="379" t="n">
        <v>0</v>
      </c>
      <c r="L128" s="358" t="n">
        <v>3</v>
      </c>
      <c r="M128" s="379" t="n">
        <v>0</v>
      </c>
      <c r="N128" s="379" t="n">
        <v>0</v>
      </c>
      <c r="O128" s="378" t="n">
        <v>1</v>
      </c>
      <c r="P128" s="379" t="n">
        <v>0</v>
      </c>
      <c r="Q128" s="379" t="n">
        <v>0</v>
      </c>
      <c r="R128" s="379" t="n">
        <v>0</v>
      </c>
      <c r="S128" s="379" t="n">
        <v>0</v>
      </c>
      <c r="T128" s="379" t="n">
        <v>0</v>
      </c>
      <c r="U128" s="379" t="n">
        <v>0</v>
      </c>
      <c r="V128" s="379" t="n">
        <v>0</v>
      </c>
      <c r="X128" s="381"/>
      <c r="Y128" s="381"/>
      <c r="Z128" s="380"/>
      <c r="AA128" s="381" t="str">
        <f aca="false">IF(E128=0,"",LN(E128))</f>
        <v/>
      </c>
      <c r="AB128" s="381" t="str">
        <f aca="false">IF(F128=0,"",LN(F128))</f>
        <v/>
      </c>
      <c r="AC128" s="381" t="str">
        <f aca="false">IF(G128=0,"",LN(G128))</f>
        <v/>
      </c>
      <c r="AD128" s="381" t="str">
        <f aca="false">IF(H128=0,"",LN(H128))</f>
        <v/>
      </c>
      <c r="AE128" s="381" t="str">
        <f aca="false">IF(I128=0,"",LN(I128))</f>
        <v/>
      </c>
      <c r="AF128" s="381" t="str">
        <f aca="false">IF(J128=0,"",LN(J128))</f>
        <v/>
      </c>
      <c r="AG128" s="381" t="str">
        <f aca="false">IF(K128=0,"",LN(K128))</f>
        <v/>
      </c>
      <c r="AI128" s="381"/>
      <c r="AJ128" s="381"/>
      <c r="AK128" s="380"/>
      <c r="AL128" s="381" t="str">
        <f aca="false">IF(P128=0,"",LN(P128))</f>
        <v/>
      </c>
      <c r="AM128" s="381" t="str">
        <f aca="false">IF(Q128=0,"",LN(Q128))</f>
        <v/>
      </c>
      <c r="AN128" s="381" t="str">
        <f aca="false">IF(R128=0,"",LN(R128))</f>
        <v/>
      </c>
      <c r="AO128" s="381" t="str">
        <f aca="false">IF(S128=0,"",LN(S128))</f>
        <v/>
      </c>
      <c r="AP128" s="381" t="str">
        <f aca="false">IF(T128=0,"",LN(T128))</f>
        <v/>
      </c>
      <c r="AQ128" s="381" t="str">
        <f aca="false">IF(U128=0,"",LN(U128))</f>
        <v/>
      </c>
      <c r="AR128" s="381" t="str">
        <f aca="false">IF(V128=0,"",LN(V128))</f>
        <v/>
      </c>
    </row>
    <row r="129" customFormat="false" ht="12" hidden="false" customHeight="false" outlineLevel="0" collapsed="false">
      <c r="A129" s="358" t="n">
        <v>4</v>
      </c>
      <c r="B129" s="379" t="n">
        <v>0</v>
      </c>
      <c r="C129" s="379" t="n">
        <v>0</v>
      </c>
      <c r="D129" s="379" t="n">
        <v>0</v>
      </c>
      <c r="E129" s="378" t="n">
        <v>1</v>
      </c>
      <c r="F129" s="379" t="n">
        <v>0</v>
      </c>
      <c r="G129" s="379" t="n">
        <v>0</v>
      </c>
      <c r="H129" s="379" t="n">
        <v>0</v>
      </c>
      <c r="I129" s="379" t="n">
        <v>0</v>
      </c>
      <c r="J129" s="379" t="n">
        <v>0</v>
      </c>
      <c r="K129" s="379" t="n">
        <v>0</v>
      </c>
      <c r="L129" s="358" t="n">
        <v>4</v>
      </c>
      <c r="M129" s="379" t="n">
        <v>0</v>
      </c>
      <c r="N129" s="379" t="n">
        <v>0</v>
      </c>
      <c r="O129" s="379" t="n">
        <v>0</v>
      </c>
      <c r="P129" s="378" t="n">
        <v>1</v>
      </c>
      <c r="Q129" s="379" t="n">
        <v>0</v>
      </c>
      <c r="R129" s="379" t="n">
        <v>0</v>
      </c>
      <c r="S129" s="379" t="n">
        <v>0</v>
      </c>
      <c r="T129" s="379" t="n">
        <v>0</v>
      </c>
      <c r="U129" s="379" t="n">
        <v>0</v>
      </c>
      <c r="V129" s="379" t="n">
        <v>0</v>
      </c>
      <c r="X129" s="381"/>
      <c r="Y129" s="381"/>
      <c r="Z129" s="381"/>
      <c r="AA129" s="380"/>
      <c r="AB129" s="381" t="str">
        <f aca="false">IF(F129=0,"",LN(F129))</f>
        <v/>
      </c>
      <c r="AC129" s="381" t="str">
        <f aca="false">IF(G129=0,"",LN(G129))</f>
        <v/>
      </c>
      <c r="AD129" s="381" t="str">
        <f aca="false">IF(H129=0,"",LN(H129))</f>
        <v/>
      </c>
      <c r="AE129" s="381" t="str">
        <f aca="false">IF(I129=0,"",LN(I129))</f>
        <v/>
      </c>
      <c r="AF129" s="381" t="str">
        <f aca="false">IF(J129=0,"",LN(J129))</f>
        <v/>
      </c>
      <c r="AG129" s="381" t="str">
        <f aca="false">IF(K129=0,"",LN(K129))</f>
        <v/>
      </c>
      <c r="AI129" s="381"/>
      <c r="AJ129" s="381"/>
      <c r="AK129" s="381"/>
      <c r="AL129" s="380"/>
      <c r="AM129" s="381" t="str">
        <f aca="false">IF(Q129=0,"",LN(Q129))</f>
        <v/>
      </c>
      <c r="AN129" s="381" t="str">
        <f aca="false">IF(R129=0,"",LN(R129))</f>
        <v/>
      </c>
      <c r="AO129" s="381" t="str">
        <f aca="false">IF(S129=0,"",LN(S129))</f>
        <v/>
      </c>
      <c r="AP129" s="381" t="str">
        <f aca="false">IF(T129=0,"",LN(T129))</f>
        <v/>
      </c>
      <c r="AQ129" s="381" t="str">
        <f aca="false">IF(U129=0,"",LN(U129))</f>
        <v/>
      </c>
      <c r="AR129" s="381" t="str">
        <f aca="false">IF(V129=0,"",LN(V129))</f>
        <v/>
      </c>
    </row>
    <row r="130" customFormat="false" ht="12" hidden="false" customHeight="false" outlineLevel="0" collapsed="false">
      <c r="A130" s="358" t="n">
        <v>5</v>
      </c>
      <c r="B130" s="379" t="n">
        <v>0</v>
      </c>
      <c r="C130" s="379" t="n">
        <v>0</v>
      </c>
      <c r="D130" s="379" t="n">
        <v>0</v>
      </c>
      <c r="E130" s="379" t="n">
        <v>0</v>
      </c>
      <c r="F130" s="378" t="n">
        <v>1</v>
      </c>
      <c r="G130" s="379" t="n">
        <v>0</v>
      </c>
      <c r="H130" s="379" t="n">
        <v>0</v>
      </c>
      <c r="I130" s="379" t="n">
        <v>0</v>
      </c>
      <c r="J130" s="379" t="n">
        <v>0</v>
      </c>
      <c r="K130" s="379" t="n">
        <v>0</v>
      </c>
      <c r="L130" s="358" t="n">
        <v>5</v>
      </c>
      <c r="M130" s="379" t="n">
        <v>0</v>
      </c>
      <c r="N130" s="379" t="n">
        <v>0</v>
      </c>
      <c r="O130" s="379" t="n">
        <v>0</v>
      </c>
      <c r="P130" s="379" t="n">
        <v>0</v>
      </c>
      <c r="Q130" s="378" t="n">
        <v>1</v>
      </c>
      <c r="R130" s="379" t="n">
        <v>0</v>
      </c>
      <c r="S130" s="379" t="n">
        <v>0</v>
      </c>
      <c r="T130" s="379" t="n">
        <v>0</v>
      </c>
      <c r="U130" s="379" t="n">
        <v>0</v>
      </c>
      <c r="V130" s="379" t="n">
        <v>0</v>
      </c>
      <c r="X130" s="381"/>
      <c r="Y130" s="381"/>
      <c r="Z130" s="381"/>
      <c r="AA130" s="381"/>
      <c r="AB130" s="380"/>
      <c r="AC130" s="381" t="str">
        <f aca="false">IF(G130=0,"",LN(G130))</f>
        <v/>
      </c>
      <c r="AD130" s="381" t="str">
        <f aca="false">IF(H130=0,"",LN(H130))</f>
        <v/>
      </c>
      <c r="AE130" s="381" t="str">
        <f aca="false">IF(I130=0,"",LN(I130))</f>
        <v/>
      </c>
      <c r="AF130" s="381" t="str">
        <f aca="false">IF(J130=0,"",LN(J130))</f>
        <v/>
      </c>
      <c r="AG130" s="381" t="str">
        <f aca="false">IF(K130=0,"",LN(K130))</f>
        <v/>
      </c>
      <c r="AI130" s="381"/>
      <c r="AJ130" s="381"/>
      <c r="AK130" s="381"/>
      <c r="AL130" s="381"/>
      <c r="AM130" s="380"/>
      <c r="AN130" s="381" t="str">
        <f aca="false">IF(R130=0,"",LN(R130))</f>
        <v/>
      </c>
      <c r="AO130" s="381" t="str">
        <f aca="false">IF(S130=0,"",LN(S130))</f>
        <v/>
      </c>
      <c r="AP130" s="381" t="str">
        <f aca="false">IF(T130=0,"",LN(T130))</f>
        <v/>
      </c>
      <c r="AQ130" s="381" t="str">
        <f aca="false">IF(U130=0,"",LN(U130))</f>
        <v/>
      </c>
      <c r="AR130" s="381" t="str">
        <f aca="false">IF(V130=0,"",LN(V130))</f>
        <v/>
      </c>
    </row>
    <row r="131" customFormat="false" ht="12" hidden="false" customHeight="false" outlineLevel="0" collapsed="false">
      <c r="A131" s="358" t="n">
        <v>6</v>
      </c>
      <c r="B131" s="379" t="n">
        <v>0</v>
      </c>
      <c r="C131" s="379" t="n">
        <v>0</v>
      </c>
      <c r="D131" s="379" t="n">
        <v>0</v>
      </c>
      <c r="E131" s="379" t="n">
        <v>0</v>
      </c>
      <c r="F131" s="379" t="n">
        <v>0</v>
      </c>
      <c r="G131" s="378" t="n">
        <v>1</v>
      </c>
      <c r="H131" s="379" t="n">
        <v>0</v>
      </c>
      <c r="I131" s="379" t="n">
        <v>0</v>
      </c>
      <c r="J131" s="379" t="n">
        <v>0</v>
      </c>
      <c r="K131" s="379" t="n">
        <v>0</v>
      </c>
      <c r="L131" s="358" t="n">
        <v>6</v>
      </c>
      <c r="M131" s="379" t="n">
        <v>0</v>
      </c>
      <c r="N131" s="379" t="n">
        <v>0</v>
      </c>
      <c r="O131" s="379" t="n">
        <v>0</v>
      </c>
      <c r="P131" s="379" t="n">
        <v>0</v>
      </c>
      <c r="Q131" s="379" t="n">
        <v>0</v>
      </c>
      <c r="R131" s="378" t="n">
        <v>1</v>
      </c>
      <c r="S131" s="379" t="n">
        <v>0</v>
      </c>
      <c r="T131" s="379" t="n">
        <v>0</v>
      </c>
      <c r="U131" s="379" t="n">
        <v>0</v>
      </c>
      <c r="V131" s="379" t="n">
        <v>0</v>
      </c>
      <c r="X131" s="381"/>
      <c r="Y131" s="381"/>
      <c r="Z131" s="381"/>
      <c r="AA131" s="381"/>
      <c r="AB131" s="381"/>
      <c r="AC131" s="380"/>
      <c r="AD131" s="381" t="str">
        <f aca="false">IF(H131=0,"",LN(H131))</f>
        <v/>
      </c>
      <c r="AE131" s="381" t="str">
        <f aca="false">IF(I131=0,"",LN(I131))</f>
        <v/>
      </c>
      <c r="AF131" s="381" t="str">
        <f aca="false">IF(J131=0,"",LN(J131))</f>
        <v/>
      </c>
      <c r="AG131" s="381" t="str">
        <f aca="false">IF(K131=0,"",LN(K131))</f>
        <v/>
      </c>
      <c r="AI131" s="381"/>
      <c r="AJ131" s="381"/>
      <c r="AK131" s="381"/>
      <c r="AL131" s="381"/>
      <c r="AM131" s="381"/>
      <c r="AN131" s="380"/>
      <c r="AO131" s="381" t="str">
        <f aca="false">IF(S131=0,"",LN(S131))</f>
        <v/>
      </c>
      <c r="AP131" s="381" t="str">
        <f aca="false">IF(T131=0,"",LN(T131))</f>
        <v/>
      </c>
      <c r="AQ131" s="381" t="str">
        <f aca="false">IF(U131=0,"",LN(U131))</f>
        <v/>
      </c>
      <c r="AR131" s="381" t="str">
        <f aca="false">IF(V131=0,"",LN(V131))</f>
        <v/>
      </c>
    </row>
    <row r="132" customFormat="false" ht="12" hidden="false" customHeight="false" outlineLevel="0" collapsed="false">
      <c r="A132" s="358" t="n">
        <v>7</v>
      </c>
      <c r="B132" s="379" t="n">
        <v>0</v>
      </c>
      <c r="C132" s="379" t="n">
        <v>0</v>
      </c>
      <c r="D132" s="379" t="n">
        <v>0</v>
      </c>
      <c r="E132" s="379" t="n">
        <v>0</v>
      </c>
      <c r="F132" s="379" t="n">
        <v>0</v>
      </c>
      <c r="G132" s="379" t="n">
        <v>0</v>
      </c>
      <c r="H132" s="378" t="n">
        <v>1</v>
      </c>
      <c r="I132" s="379" t="n">
        <v>0</v>
      </c>
      <c r="J132" s="379" t="n">
        <v>0</v>
      </c>
      <c r="K132" s="379" t="n">
        <v>0</v>
      </c>
      <c r="L132" s="358" t="n">
        <v>7</v>
      </c>
      <c r="M132" s="379" t="n">
        <v>0</v>
      </c>
      <c r="N132" s="379" t="n">
        <v>0</v>
      </c>
      <c r="O132" s="379" t="n">
        <v>0</v>
      </c>
      <c r="P132" s="379" t="n">
        <v>0</v>
      </c>
      <c r="Q132" s="379" t="n">
        <v>0</v>
      </c>
      <c r="R132" s="379" t="n">
        <v>0</v>
      </c>
      <c r="S132" s="378" t="n">
        <v>1</v>
      </c>
      <c r="T132" s="379" t="n">
        <v>0</v>
      </c>
      <c r="U132" s="379" t="n">
        <v>0</v>
      </c>
      <c r="V132" s="379" t="n">
        <v>0</v>
      </c>
      <c r="X132" s="381"/>
      <c r="Y132" s="381"/>
      <c r="Z132" s="381"/>
      <c r="AA132" s="381"/>
      <c r="AB132" s="381"/>
      <c r="AC132" s="381"/>
      <c r="AD132" s="380"/>
      <c r="AE132" s="381" t="str">
        <f aca="false">IF(I132=0,"",LN(I132))</f>
        <v/>
      </c>
      <c r="AF132" s="381" t="str">
        <f aca="false">IF(J132=0,"",LN(J132))</f>
        <v/>
      </c>
      <c r="AG132" s="381" t="str">
        <f aca="false">IF(K132=0,"",LN(K132))</f>
        <v/>
      </c>
      <c r="AI132" s="381"/>
      <c r="AJ132" s="381"/>
      <c r="AK132" s="381"/>
      <c r="AL132" s="381"/>
      <c r="AM132" s="381"/>
      <c r="AN132" s="381"/>
      <c r="AO132" s="380"/>
      <c r="AP132" s="381" t="str">
        <f aca="false">IF(T132=0,"",LN(T132))</f>
        <v/>
      </c>
      <c r="AQ132" s="381" t="str">
        <f aca="false">IF(U132=0,"",LN(U132))</f>
        <v/>
      </c>
      <c r="AR132" s="381" t="str">
        <f aca="false">IF(V132=0,"",LN(V132))</f>
        <v/>
      </c>
    </row>
    <row r="133" customFormat="false" ht="12" hidden="false" customHeight="false" outlineLevel="0" collapsed="false">
      <c r="A133" s="358" t="n">
        <v>8</v>
      </c>
      <c r="B133" s="379" t="n">
        <v>0</v>
      </c>
      <c r="C133" s="379" t="n">
        <v>0</v>
      </c>
      <c r="D133" s="379" t="n">
        <v>0</v>
      </c>
      <c r="E133" s="379" t="n">
        <v>0</v>
      </c>
      <c r="F133" s="379" t="n">
        <v>0</v>
      </c>
      <c r="G133" s="379" t="n">
        <v>0</v>
      </c>
      <c r="H133" s="379" t="n">
        <v>0</v>
      </c>
      <c r="I133" s="378" t="n">
        <v>1</v>
      </c>
      <c r="J133" s="379" t="n">
        <v>0</v>
      </c>
      <c r="K133" s="379" t="n">
        <v>0</v>
      </c>
      <c r="L133" s="358" t="n">
        <v>8</v>
      </c>
      <c r="M133" s="379" t="n">
        <v>0</v>
      </c>
      <c r="N133" s="379" t="n">
        <v>0</v>
      </c>
      <c r="O133" s="379" t="n">
        <v>0</v>
      </c>
      <c r="P133" s="379" t="n">
        <v>0</v>
      </c>
      <c r="Q133" s="379" t="n">
        <v>0</v>
      </c>
      <c r="R133" s="379" t="n">
        <v>0</v>
      </c>
      <c r="S133" s="379" t="n">
        <v>0</v>
      </c>
      <c r="T133" s="378" t="n">
        <v>1</v>
      </c>
      <c r="U133" s="379" t="n">
        <v>0</v>
      </c>
      <c r="V133" s="379" t="n">
        <v>0</v>
      </c>
      <c r="X133" s="381"/>
      <c r="Y133" s="381"/>
      <c r="Z133" s="381"/>
      <c r="AA133" s="381"/>
      <c r="AB133" s="381"/>
      <c r="AC133" s="381"/>
      <c r="AD133" s="381"/>
      <c r="AE133" s="380"/>
      <c r="AF133" s="381" t="str">
        <f aca="false">IF(J133=0,"",LN(J133))</f>
        <v/>
      </c>
      <c r="AG133" s="381" t="str">
        <f aca="false">IF(K133=0,"",LN(K133))</f>
        <v/>
      </c>
      <c r="AI133" s="381"/>
      <c r="AJ133" s="381"/>
      <c r="AK133" s="381"/>
      <c r="AL133" s="381"/>
      <c r="AM133" s="381"/>
      <c r="AN133" s="381"/>
      <c r="AO133" s="381"/>
      <c r="AP133" s="380"/>
      <c r="AQ133" s="381" t="str">
        <f aca="false">IF(U133=0,"",LN(U133))</f>
        <v/>
      </c>
      <c r="AR133" s="381" t="str">
        <f aca="false">IF(V133=0,"",LN(V133))</f>
        <v/>
      </c>
    </row>
    <row r="134" customFormat="false" ht="12" hidden="false" customHeight="false" outlineLevel="0" collapsed="false">
      <c r="A134" s="358" t="n">
        <v>9</v>
      </c>
      <c r="B134" s="379" t="n">
        <v>0</v>
      </c>
      <c r="C134" s="379" t="n">
        <v>0</v>
      </c>
      <c r="D134" s="379" t="n">
        <v>0</v>
      </c>
      <c r="E134" s="379" t="n">
        <v>0</v>
      </c>
      <c r="F134" s="379" t="n">
        <v>0</v>
      </c>
      <c r="G134" s="379" t="n">
        <v>0</v>
      </c>
      <c r="H134" s="379" t="n">
        <v>0</v>
      </c>
      <c r="I134" s="379" t="n">
        <v>0</v>
      </c>
      <c r="J134" s="378" t="n">
        <v>1</v>
      </c>
      <c r="K134" s="379" t="n">
        <v>0</v>
      </c>
      <c r="L134" s="358" t="n">
        <v>9</v>
      </c>
      <c r="M134" s="379" t="n">
        <v>0</v>
      </c>
      <c r="N134" s="379" t="n">
        <v>0</v>
      </c>
      <c r="O134" s="379" t="n">
        <v>0</v>
      </c>
      <c r="P134" s="379" t="n">
        <v>0</v>
      </c>
      <c r="Q134" s="379" t="n">
        <v>0</v>
      </c>
      <c r="R134" s="379" t="n">
        <v>0</v>
      </c>
      <c r="S134" s="379" t="n">
        <v>0</v>
      </c>
      <c r="T134" s="379" t="n">
        <v>0</v>
      </c>
      <c r="U134" s="378" t="n">
        <v>1</v>
      </c>
      <c r="V134" s="379" t="n">
        <v>0</v>
      </c>
      <c r="X134" s="381"/>
      <c r="Y134" s="381"/>
      <c r="Z134" s="381"/>
      <c r="AA134" s="381"/>
      <c r="AB134" s="381"/>
      <c r="AC134" s="381"/>
      <c r="AD134" s="381"/>
      <c r="AE134" s="381"/>
      <c r="AF134" s="380"/>
      <c r="AG134" s="381" t="str">
        <f aca="false">IF(K134=0,"",LN(K134))</f>
        <v/>
      </c>
      <c r="AI134" s="381"/>
      <c r="AJ134" s="381"/>
      <c r="AK134" s="381"/>
      <c r="AL134" s="381"/>
      <c r="AM134" s="381"/>
      <c r="AN134" s="381"/>
      <c r="AO134" s="381"/>
      <c r="AP134" s="381"/>
      <c r="AQ134" s="380"/>
      <c r="AR134" s="381" t="str">
        <f aca="false">IF(V134=0,"",LN(V134))</f>
        <v/>
      </c>
    </row>
    <row r="135" customFormat="false" ht="12" hidden="false" customHeight="false" outlineLevel="0" collapsed="false">
      <c r="A135" s="358" t="n">
        <v>10</v>
      </c>
      <c r="B135" s="379" t="n">
        <v>0</v>
      </c>
      <c r="C135" s="379" t="n">
        <v>0</v>
      </c>
      <c r="D135" s="379" t="n">
        <v>0</v>
      </c>
      <c r="E135" s="379" t="n">
        <v>0</v>
      </c>
      <c r="F135" s="379" t="n">
        <v>0</v>
      </c>
      <c r="G135" s="379" t="n">
        <v>0</v>
      </c>
      <c r="H135" s="379" t="n">
        <v>0</v>
      </c>
      <c r="I135" s="379" t="n">
        <v>0</v>
      </c>
      <c r="J135" s="379" t="n">
        <v>0</v>
      </c>
      <c r="K135" s="378" t="n">
        <v>1</v>
      </c>
      <c r="L135" s="358" t="n">
        <v>10</v>
      </c>
      <c r="M135" s="379" t="n">
        <v>0</v>
      </c>
      <c r="N135" s="379" t="n">
        <v>0</v>
      </c>
      <c r="O135" s="379" t="n">
        <v>0</v>
      </c>
      <c r="P135" s="379" t="n">
        <v>0</v>
      </c>
      <c r="Q135" s="379" t="n">
        <v>0</v>
      </c>
      <c r="R135" s="379" t="n">
        <v>0</v>
      </c>
      <c r="S135" s="379" t="n">
        <v>0</v>
      </c>
      <c r="T135" s="379" t="n">
        <v>0</v>
      </c>
      <c r="U135" s="379" t="n">
        <v>0</v>
      </c>
      <c r="V135" s="378" t="n">
        <v>1</v>
      </c>
      <c r="X135" s="381"/>
      <c r="Y135" s="381"/>
      <c r="Z135" s="381"/>
      <c r="AA135" s="381"/>
      <c r="AB135" s="381"/>
      <c r="AC135" s="381"/>
      <c r="AD135" s="381"/>
      <c r="AE135" s="381"/>
      <c r="AF135" s="381"/>
      <c r="AG135" s="380"/>
      <c r="AI135" s="381"/>
      <c r="AJ135" s="381"/>
      <c r="AK135" s="381"/>
      <c r="AL135" s="381"/>
      <c r="AM135" s="381"/>
      <c r="AN135" s="381"/>
      <c r="AO135" s="381"/>
      <c r="AP135" s="381"/>
      <c r="AQ135" s="381"/>
      <c r="AR135" s="380"/>
    </row>
    <row r="137" customFormat="false" ht="12.75" hidden="false" customHeight="false" outlineLevel="0" collapsed="false">
      <c r="A137" s="369" t="n">
        <v>20</v>
      </c>
      <c r="B137" s="370" t="str">
        <f aca="true">INDIRECT(ADDRESS(17,2,1,1,"in"&amp;TEXT(A137,"@")))</f>
        <v>Participant 20</v>
      </c>
      <c r="C137" s="370"/>
      <c r="D137" s="370"/>
      <c r="E137" s="370"/>
      <c r="F137" s="370"/>
      <c r="G137" s="370"/>
      <c r="H137" s="371" t="n">
        <f aca="true">INDIRECT(ADDRESS(17,6,1,1,"in"&amp;TEXT(A137,"@")))</f>
        <v>1</v>
      </c>
      <c r="I137" s="372"/>
      <c r="J137" s="373" t="n">
        <f aca="true">INDIRECT(ADDRESS(17,7,1,1,"in"&amp;TEXT(A137,"@")))</f>
        <v>0</v>
      </c>
      <c r="K137" s="373"/>
      <c r="X137" s="370"/>
      <c r="Y137" s="370"/>
      <c r="Z137" s="370"/>
      <c r="AA137" s="370"/>
      <c r="AB137" s="370"/>
      <c r="AC137" s="370"/>
      <c r="AD137" s="375" t="n">
        <f aca="false">IF(A137&gt;$N$4,0,IF(H137=0,1,H137))</f>
        <v>0</v>
      </c>
      <c r="AE137" s="375"/>
      <c r="AF137" s="373"/>
      <c r="AG137" s="373"/>
    </row>
    <row r="138" customFormat="false" ht="12" hidden="false" customHeight="false" outlineLevel="0" collapsed="false">
      <c r="B138" s="376" t="n">
        <v>1</v>
      </c>
      <c r="C138" s="376" t="n">
        <v>2</v>
      </c>
      <c r="D138" s="376" t="n">
        <v>3</v>
      </c>
      <c r="E138" s="376" t="n">
        <v>4</v>
      </c>
      <c r="F138" s="376" t="n">
        <v>5</v>
      </c>
      <c r="G138" s="376" t="n">
        <v>6</v>
      </c>
      <c r="H138" s="376" t="n">
        <v>7</v>
      </c>
      <c r="I138" s="376" t="n">
        <v>8</v>
      </c>
      <c r="J138" s="358" t="n">
        <v>9</v>
      </c>
      <c r="K138" s="358" t="n">
        <v>10</v>
      </c>
      <c r="X138" s="376"/>
      <c r="Y138" s="376"/>
      <c r="Z138" s="376"/>
      <c r="AA138" s="376"/>
      <c r="AB138" s="376"/>
      <c r="AC138" s="376"/>
      <c r="AD138" s="376"/>
      <c r="AE138" s="376"/>
    </row>
    <row r="139" customFormat="false" ht="12" hidden="false" customHeight="false" outlineLevel="0" collapsed="false">
      <c r="A139" s="358" t="n">
        <v>1</v>
      </c>
      <c r="B139" s="378" t="n">
        <f aca="false" t="array" ref="B139:K148">Matrix20</f>
        <v>1</v>
      </c>
      <c r="C139" s="379" t="n">
        <v>1</v>
      </c>
      <c r="D139" s="379" t="n">
        <v>0</v>
      </c>
      <c r="E139" s="379" t="n">
        <v>0</v>
      </c>
      <c r="F139" s="379" t="n">
        <v>0</v>
      </c>
      <c r="G139" s="379" t="n">
        <v>0</v>
      </c>
      <c r="H139" s="379" t="n">
        <v>0</v>
      </c>
      <c r="I139" s="379" t="n">
        <v>0</v>
      </c>
      <c r="J139" s="379" t="n">
        <v>0</v>
      </c>
      <c r="K139" s="379" t="n">
        <v>0</v>
      </c>
      <c r="X139" s="380"/>
      <c r="Y139" s="381" t="n">
        <f aca="false">IF(C139=0,"",LN(C139))</f>
        <v>0</v>
      </c>
      <c r="Z139" s="381" t="str">
        <f aca="false">IF(D139=0,"",LN(D139))</f>
        <v/>
      </c>
      <c r="AA139" s="381" t="str">
        <f aca="false">IF(E139=0,"",LN(E139))</f>
        <v/>
      </c>
      <c r="AB139" s="381" t="str">
        <f aca="false">IF(F139=0,"",LN(F139))</f>
        <v/>
      </c>
      <c r="AC139" s="381" t="str">
        <f aca="false">IF(G139=0,"",LN(G139))</f>
        <v/>
      </c>
      <c r="AD139" s="381" t="str">
        <f aca="false">IF(H139=0,"",LN(H139))</f>
        <v/>
      </c>
      <c r="AE139" s="381" t="str">
        <f aca="false">IF(I139=0,"",LN(I139))</f>
        <v/>
      </c>
      <c r="AF139" s="381" t="str">
        <f aca="false">IF(J139=0,"",LN(J139))</f>
        <v/>
      </c>
      <c r="AG139" s="381" t="str">
        <f aca="false">IF(K139=0,"",LN(K139))</f>
        <v/>
      </c>
    </row>
    <row r="140" customFormat="false" ht="12" hidden="false" customHeight="false" outlineLevel="0" collapsed="false">
      <c r="A140" s="358" t="n">
        <v>2</v>
      </c>
      <c r="B140" s="379" t="n">
        <v>1</v>
      </c>
      <c r="C140" s="378" t="n">
        <v>1</v>
      </c>
      <c r="D140" s="379" t="n">
        <v>0</v>
      </c>
      <c r="E140" s="379" t="n">
        <v>0</v>
      </c>
      <c r="F140" s="379" t="n">
        <v>0</v>
      </c>
      <c r="G140" s="379" t="n">
        <v>0</v>
      </c>
      <c r="H140" s="379" t="n">
        <v>0</v>
      </c>
      <c r="I140" s="379" t="n">
        <v>0</v>
      </c>
      <c r="J140" s="379" t="n">
        <v>0</v>
      </c>
      <c r="K140" s="379" t="n">
        <v>0</v>
      </c>
      <c r="X140" s="381"/>
      <c r="Y140" s="380"/>
      <c r="Z140" s="381" t="str">
        <f aca="false">IF(D140=0,"",LN(D140))</f>
        <v/>
      </c>
      <c r="AA140" s="381" t="str">
        <f aca="false">IF(E140=0,"",LN(E140))</f>
        <v/>
      </c>
      <c r="AB140" s="381" t="str">
        <f aca="false">IF(F140=0,"",LN(F140))</f>
        <v/>
      </c>
      <c r="AC140" s="381" t="str">
        <f aca="false">IF(G140=0,"",LN(G140))</f>
        <v/>
      </c>
      <c r="AD140" s="381" t="str">
        <f aca="false">IF(H140=0,"",LN(H140))</f>
        <v/>
      </c>
      <c r="AE140" s="381" t="str">
        <f aca="false">IF(I140=0,"",LN(I140))</f>
        <v/>
      </c>
      <c r="AF140" s="381" t="str">
        <f aca="false">IF(J140=0,"",LN(J140))</f>
        <v/>
      </c>
      <c r="AG140" s="381" t="str">
        <f aca="false">IF(K140=0,"",LN(K140))</f>
        <v/>
      </c>
    </row>
    <row r="141" customFormat="false" ht="12" hidden="false" customHeight="false" outlineLevel="0" collapsed="false">
      <c r="A141" s="358" t="n">
        <v>3</v>
      </c>
      <c r="B141" s="379" t="n">
        <v>0</v>
      </c>
      <c r="C141" s="379" t="n">
        <v>0</v>
      </c>
      <c r="D141" s="378" t="n">
        <v>1</v>
      </c>
      <c r="E141" s="379" t="n">
        <v>0</v>
      </c>
      <c r="F141" s="379" t="n">
        <v>0</v>
      </c>
      <c r="G141" s="379" t="n">
        <v>0</v>
      </c>
      <c r="H141" s="379" t="n">
        <v>0</v>
      </c>
      <c r="I141" s="379" t="n">
        <v>0</v>
      </c>
      <c r="J141" s="379" t="n">
        <v>0</v>
      </c>
      <c r="K141" s="379" t="n">
        <v>0</v>
      </c>
      <c r="X141" s="381"/>
      <c r="Y141" s="381"/>
      <c r="Z141" s="380"/>
      <c r="AA141" s="381" t="str">
        <f aca="false">IF(E141=0,"",LN(E141))</f>
        <v/>
      </c>
      <c r="AB141" s="381" t="str">
        <f aca="false">IF(F141=0,"",LN(F141))</f>
        <v/>
      </c>
      <c r="AC141" s="381" t="str">
        <f aca="false">IF(G141=0,"",LN(G141))</f>
        <v/>
      </c>
      <c r="AD141" s="381" t="str">
        <f aca="false">IF(H141=0,"",LN(H141))</f>
        <v/>
      </c>
      <c r="AE141" s="381" t="str">
        <f aca="false">IF(I141=0,"",LN(I141))</f>
        <v/>
      </c>
      <c r="AF141" s="381" t="str">
        <f aca="false">IF(J141=0,"",LN(J141))</f>
        <v/>
      </c>
      <c r="AG141" s="381" t="str">
        <f aca="false">IF(K141=0,"",LN(K141))</f>
        <v/>
      </c>
    </row>
    <row r="142" customFormat="false" ht="12" hidden="false" customHeight="false" outlineLevel="0" collapsed="false">
      <c r="A142" s="358" t="n">
        <v>4</v>
      </c>
      <c r="B142" s="379" t="n">
        <v>0</v>
      </c>
      <c r="C142" s="379" t="n">
        <v>0</v>
      </c>
      <c r="D142" s="379" t="n">
        <v>0</v>
      </c>
      <c r="E142" s="378" t="n">
        <v>1</v>
      </c>
      <c r="F142" s="379" t="n">
        <v>0</v>
      </c>
      <c r="G142" s="379" t="n">
        <v>0</v>
      </c>
      <c r="H142" s="379" t="n">
        <v>0</v>
      </c>
      <c r="I142" s="379" t="n">
        <v>0</v>
      </c>
      <c r="J142" s="379" t="n">
        <v>0</v>
      </c>
      <c r="K142" s="379" t="n">
        <v>0</v>
      </c>
      <c r="X142" s="381"/>
      <c r="Y142" s="381"/>
      <c r="Z142" s="381"/>
      <c r="AA142" s="380"/>
      <c r="AB142" s="381" t="str">
        <f aca="false">IF(F142=0,"",LN(F142))</f>
        <v/>
      </c>
      <c r="AC142" s="381" t="str">
        <f aca="false">IF(G142=0,"",LN(G142))</f>
        <v/>
      </c>
      <c r="AD142" s="381" t="str">
        <f aca="false">IF(H142=0,"",LN(H142))</f>
        <v/>
      </c>
      <c r="AE142" s="381" t="str">
        <f aca="false">IF(I142=0,"",LN(I142))</f>
        <v/>
      </c>
      <c r="AF142" s="381" t="str">
        <f aca="false">IF(J142=0,"",LN(J142))</f>
        <v/>
      </c>
      <c r="AG142" s="381" t="str">
        <f aca="false">IF(K142=0,"",LN(K142))</f>
        <v/>
      </c>
    </row>
    <row r="143" customFormat="false" ht="12" hidden="false" customHeight="false" outlineLevel="0" collapsed="false">
      <c r="A143" s="358" t="n">
        <v>5</v>
      </c>
      <c r="B143" s="379" t="n">
        <v>0</v>
      </c>
      <c r="C143" s="379" t="n">
        <v>0</v>
      </c>
      <c r="D143" s="379" t="n">
        <v>0</v>
      </c>
      <c r="E143" s="379" t="n">
        <v>0</v>
      </c>
      <c r="F143" s="378" t="n">
        <v>1</v>
      </c>
      <c r="G143" s="379" t="n">
        <v>0</v>
      </c>
      <c r="H143" s="379" t="n">
        <v>0</v>
      </c>
      <c r="I143" s="379" t="n">
        <v>0</v>
      </c>
      <c r="J143" s="379" t="n">
        <v>0</v>
      </c>
      <c r="K143" s="379" t="n">
        <v>0</v>
      </c>
      <c r="X143" s="381"/>
      <c r="Y143" s="381"/>
      <c r="Z143" s="381"/>
      <c r="AA143" s="381"/>
      <c r="AB143" s="380"/>
      <c r="AC143" s="381" t="str">
        <f aca="false">IF(G143=0,"",LN(G143))</f>
        <v/>
      </c>
      <c r="AD143" s="381" t="str">
        <f aca="false">IF(H143=0,"",LN(H143))</f>
        <v/>
      </c>
      <c r="AE143" s="381" t="str">
        <f aca="false">IF(I143=0,"",LN(I143))</f>
        <v/>
      </c>
      <c r="AF143" s="381" t="str">
        <f aca="false">IF(J143=0,"",LN(J143))</f>
        <v/>
      </c>
      <c r="AG143" s="381" t="str">
        <f aca="false">IF(K143=0,"",LN(K143))</f>
        <v/>
      </c>
    </row>
    <row r="144" customFormat="false" ht="12" hidden="false" customHeight="false" outlineLevel="0" collapsed="false">
      <c r="A144" s="358" t="n">
        <v>6</v>
      </c>
      <c r="B144" s="379" t="n">
        <v>0</v>
      </c>
      <c r="C144" s="379" t="n">
        <v>0</v>
      </c>
      <c r="D144" s="379" t="n">
        <v>0</v>
      </c>
      <c r="E144" s="379" t="n">
        <v>0</v>
      </c>
      <c r="F144" s="379" t="n">
        <v>0</v>
      </c>
      <c r="G144" s="378" t="n">
        <v>1</v>
      </c>
      <c r="H144" s="379" t="n">
        <v>0</v>
      </c>
      <c r="I144" s="379" t="n">
        <v>0</v>
      </c>
      <c r="J144" s="379" t="n">
        <v>0</v>
      </c>
      <c r="K144" s="379" t="n">
        <v>0</v>
      </c>
      <c r="X144" s="381"/>
      <c r="Y144" s="381"/>
      <c r="Z144" s="381"/>
      <c r="AA144" s="381"/>
      <c r="AB144" s="381"/>
      <c r="AC144" s="380"/>
      <c r="AD144" s="381" t="str">
        <f aca="false">IF(H144=0,"",LN(H144))</f>
        <v/>
      </c>
      <c r="AE144" s="381" t="str">
        <f aca="false">IF(I144=0,"",LN(I144))</f>
        <v/>
      </c>
      <c r="AF144" s="381" t="str">
        <f aca="false">IF(J144=0,"",LN(J144))</f>
        <v/>
      </c>
      <c r="AG144" s="381" t="str">
        <f aca="false">IF(K144=0,"",LN(K144))</f>
        <v/>
      </c>
    </row>
    <row r="145" customFormat="false" ht="12" hidden="false" customHeight="false" outlineLevel="0" collapsed="false">
      <c r="A145" s="358" t="n">
        <v>7</v>
      </c>
      <c r="B145" s="379" t="n">
        <v>0</v>
      </c>
      <c r="C145" s="379" t="n">
        <v>0</v>
      </c>
      <c r="D145" s="379" t="n">
        <v>0</v>
      </c>
      <c r="E145" s="379" t="n">
        <v>0</v>
      </c>
      <c r="F145" s="379" t="n">
        <v>0</v>
      </c>
      <c r="G145" s="379" t="n">
        <v>0</v>
      </c>
      <c r="H145" s="378" t="n">
        <v>1</v>
      </c>
      <c r="I145" s="379" t="n">
        <v>0</v>
      </c>
      <c r="J145" s="379" t="n">
        <v>0</v>
      </c>
      <c r="K145" s="379" t="n">
        <v>0</v>
      </c>
      <c r="X145" s="381"/>
      <c r="Y145" s="381"/>
      <c r="Z145" s="381"/>
      <c r="AA145" s="381"/>
      <c r="AB145" s="381"/>
      <c r="AC145" s="381"/>
      <c r="AD145" s="380"/>
      <c r="AE145" s="381" t="str">
        <f aca="false">IF(I145=0,"",LN(I145))</f>
        <v/>
      </c>
      <c r="AF145" s="381" t="str">
        <f aca="false">IF(J145=0,"",LN(J145))</f>
        <v/>
      </c>
      <c r="AG145" s="381" t="str">
        <f aca="false">IF(K145=0,"",LN(K145))</f>
        <v/>
      </c>
    </row>
    <row r="146" customFormat="false" ht="12" hidden="false" customHeight="false" outlineLevel="0" collapsed="false">
      <c r="A146" s="358" t="n">
        <v>8</v>
      </c>
      <c r="B146" s="379" t="n">
        <v>0</v>
      </c>
      <c r="C146" s="379" t="n">
        <v>0</v>
      </c>
      <c r="D146" s="379" t="n">
        <v>0</v>
      </c>
      <c r="E146" s="379" t="n">
        <v>0</v>
      </c>
      <c r="F146" s="379" t="n">
        <v>0</v>
      </c>
      <c r="G146" s="379" t="n">
        <v>0</v>
      </c>
      <c r="H146" s="379" t="n">
        <v>0</v>
      </c>
      <c r="I146" s="378" t="n">
        <v>1</v>
      </c>
      <c r="J146" s="379" t="n">
        <v>0</v>
      </c>
      <c r="K146" s="379" t="n">
        <v>0</v>
      </c>
      <c r="X146" s="381"/>
      <c r="Y146" s="381"/>
      <c r="Z146" s="381"/>
      <c r="AA146" s="381"/>
      <c r="AB146" s="381"/>
      <c r="AC146" s="381"/>
      <c r="AD146" s="381"/>
      <c r="AE146" s="380"/>
      <c r="AF146" s="381" t="str">
        <f aca="false">IF(J146=0,"",LN(J146))</f>
        <v/>
      </c>
      <c r="AG146" s="381" t="str">
        <f aca="false">IF(K146=0,"",LN(K146))</f>
        <v/>
      </c>
    </row>
    <row r="147" customFormat="false" ht="12" hidden="false" customHeight="false" outlineLevel="0" collapsed="false">
      <c r="A147" s="358" t="n">
        <v>9</v>
      </c>
      <c r="B147" s="379" t="n">
        <v>0</v>
      </c>
      <c r="C147" s="379" t="n">
        <v>0</v>
      </c>
      <c r="D147" s="379" t="n">
        <v>0</v>
      </c>
      <c r="E147" s="379" t="n">
        <v>0</v>
      </c>
      <c r="F147" s="379" t="n">
        <v>0</v>
      </c>
      <c r="G147" s="379" t="n">
        <v>0</v>
      </c>
      <c r="H147" s="379" t="n">
        <v>0</v>
      </c>
      <c r="I147" s="379" t="n">
        <v>0</v>
      </c>
      <c r="J147" s="378" t="n">
        <v>1</v>
      </c>
      <c r="K147" s="379" t="n">
        <v>0</v>
      </c>
      <c r="X147" s="381"/>
      <c r="Y147" s="381"/>
      <c r="Z147" s="381"/>
      <c r="AA147" s="381"/>
      <c r="AB147" s="381"/>
      <c r="AC147" s="381"/>
      <c r="AD147" s="381"/>
      <c r="AE147" s="381"/>
      <c r="AF147" s="380"/>
      <c r="AG147" s="381" t="str">
        <f aca="false">IF(K147=0,"",LN(K147))</f>
        <v/>
      </c>
    </row>
    <row r="148" customFormat="false" ht="12" hidden="false" customHeight="false" outlineLevel="0" collapsed="false">
      <c r="A148" s="358" t="n">
        <v>10</v>
      </c>
      <c r="B148" s="379" t="n">
        <v>0</v>
      </c>
      <c r="C148" s="379" t="n">
        <v>0</v>
      </c>
      <c r="D148" s="379" t="n">
        <v>0</v>
      </c>
      <c r="E148" s="379" t="n">
        <v>0</v>
      </c>
      <c r="F148" s="379" t="n">
        <v>0</v>
      </c>
      <c r="G148" s="379" t="n">
        <v>0</v>
      </c>
      <c r="H148" s="379" t="n">
        <v>0</v>
      </c>
      <c r="I148" s="379" t="n">
        <v>0</v>
      </c>
      <c r="J148" s="379" t="n">
        <v>0</v>
      </c>
      <c r="K148" s="378" t="n">
        <v>1</v>
      </c>
      <c r="X148" s="381"/>
      <c r="Y148" s="381"/>
      <c r="Z148" s="381"/>
      <c r="AA148" s="381"/>
      <c r="AB148" s="381"/>
      <c r="AC148" s="381"/>
      <c r="AD148" s="381"/>
      <c r="AE148" s="381"/>
      <c r="AF148" s="381"/>
      <c r="AG148" s="380"/>
    </row>
  </sheetData>
  <sheetProtection sheet="true" objects="true" scenarios="true"/>
  <mergeCells count="81">
    <mergeCell ref="B7:I7"/>
    <mergeCell ref="M7:R7"/>
    <mergeCell ref="U7:V7"/>
    <mergeCell ref="AI7:AN7"/>
    <mergeCell ref="AQ7:AR7"/>
    <mergeCell ref="B20:G20"/>
    <mergeCell ref="J20:K20"/>
    <mergeCell ref="M20:R20"/>
    <mergeCell ref="U20:V20"/>
    <mergeCell ref="X20:AC20"/>
    <mergeCell ref="AF20:AG20"/>
    <mergeCell ref="AI20:AN20"/>
    <mergeCell ref="AQ20:AR20"/>
    <mergeCell ref="B33:G33"/>
    <mergeCell ref="J33:K33"/>
    <mergeCell ref="M33:R33"/>
    <mergeCell ref="U33:V33"/>
    <mergeCell ref="X33:AC33"/>
    <mergeCell ref="AF33:AG33"/>
    <mergeCell ref="AI33:AN33"/>
    <mergeCell ref="AQ33:AR33"/>
    <mergeCell ref="B46:G46"/>
    <mergeCell ref="J46:K46"/>
    <mergeCell ref="M46:R46"/>
    <mergeCell ref="U46:V46"/>
    <mergeCell ref="X46:AC46"/>
    <mergeCell ref="AF46:AG46"/>
    <mergeCell ref="AI46:AN46"/>
    <mergeCell ref="AQ46:AR46"/>
    <mergeCell ref="B59:G59"/>
    <mergeCell ref="J59:K59"/>
    <mergeCell ref="M59:R59"/>
    <mergeCell ref="U59:V59"/>
    <mergeCell ref="X59:AC59"/>
    <mergeCell ref="AF59:AG59"/>
    <mergeCell ref="AI59:AN59"/>
    <mergeCell ref="AQ59:AR59"/>
    <mergeCell ref="B72:G72"/>
    <mergeCell ref="J72:K72"/>
    <mergeCell ref="M72:R72"/>
    <mergeCell ref="U72:V72"/>
    <mergeCell ref="X72:AC72"/>
    <mergeCell ref="AF72:AG72"/>
    <mergeCell ref="AI72:AN72"/>
    <mergeCell ref="AQ72:AR72"/>
    <mergeCell ref="B85:G85"/>
    <mergeCell ref="J85:K85"/>
    <mergeCell ref="M85:R85"/>
    <mergeCell ref="U85:V85"/>
    <mergeCell ref="X85:AC85"/>
    <mergeCell ref="AF85:AG85"/>
    <mergeCell ref="AI85:AN85"/>
    <mergeCell ref="AQ85:AR85"/>
    <mergeCell ref="B98:G98"/>
    <mergeCell ref="J98:K98"/>
    <mergeCell ref="M98:R98"/>
    <mergeCell ref="U98:V98"/>
    <mergeCell ref="X98:AC98"/>
    <mergeCell ref="AF98:AG98"/>
    <mergeCell ref="AI98:AN98"/>
    <mergeCell ref="AQ98:AR98"/>
    <mergeCell ref="B111:G111"/>
    <mergeCell ref="J111:K111"/>
    <mergeCell ref="M111:R111"/>
    <mergeCell ref="U111:V111"/>
    <mergeCell ref="X111:AC111"/>
    <mergeCell ref="AF111:AG111"/>
    <mergeCell ref="AI111:AN111"/>
    <mergeCell ref="AQ111:AR111"/>
    <mergeCell ref="B124:G124"/>
    <mergeCell ref="J124:K124"/>
    <mergeCell ref="M124:R124"/>
    <mergeCell ref="U124:V124"/>
    <mergeCell ref="X124:AC124"/>
    <mergeCell ref="AF124:AG124"/>
    <mergeCell ref="AI124:AN124"/>
    <mergeCell ref="AQ124:AR124"/>
    <mergeCell ref="B137:G137"/>
    <mergeCell ref="J137:K137"/>
    <mergeCell ref="X137:AC137"/>
    <mergeCell ref="AF137:AG137"/>
  </mergeCells>
  <conditionalFormatting sqref="N9:T9 M16:S16 M15:R15 M14:Q14 M13:P13 M12:O12 M11:N11 O10:T10 P11:T11 Q12:T12 R13:T13 S14:T14 T15 M10 M17:T18 U9:V16 V17 U18 B28:G28 B27:F27 B26:E26 B25:D25 B24:C24 B23 D25:D29 E26:E29 F27:F29 G28:G29 B29:H29 C22:K22 D23:K23 E24:K24 F25:K25 G26:K26 H27:K27 I28:K28 B30:I31 J22:K29 K30 J31 C9:K9 D10:K10 E11:K11 F12:K12 G13:K13 H14:K14 I15:K15 J16:K16 K17 B10:B18 C11:C18 D12:D18 E13:E18 F14:F18 G15:G18 H16:H18 I17:I18 J18">
    <cfRule type="cellIs" priority="2" operator="notEqual" aboveAverage="0" equalAverage="0" bottom="0" percent="0" rank="0" text="" dxfId="693">
      <formula>0</formula>
    </cfRule>
  </conditionalFormatting>
  <conditionalFormatting sqref="M28:R28 M27:Q27 M26:P26 M25:O25 M24:N24 M23 M29:S29 N22:V22 O23:V23 P24:V24 Q25:V25 R26:V26 S27:V27 T28:V28 M30:T31 U29:V29 V30 U31">
    <cfRule type="cellIs" priority="3" operator="notEqual" aboveAverage="0" equalAverage="0" bottom="0" percent="0" rank="0" text="" dxfId="694">
      <formula>0</formula>
    </cfRule>
  </conditionalFormatting>
  <conditionalFormatting sqref="B41:G41 B40:F40 B39:E39 B38:D38 B37:C37 B36 B42:H42 C35:K35 D36:K36 E37:K37 F38:K38 G39:K39 H40:K40 I41:K41 B43:I44 J42:K42 K43 J44">
    <cfRule type="cellIs" priority="4" operator="notEqual" aboveAverage="0" equalAverage="0" bottom="0" percent="0" rank="0" text="" dxfId="695">
      <formula>0</formula>
    </cfRule>
  </conditionalFormatting>
  <conditionalFormatting sqref="M41:R41 M40:Q40 M39:P39 M38:O38 M37:N37 M36 M42:S42 N35:V35 O36:V36 P37:V37 Q38:V38 R39:V39 S40:V40 T41:V41 M43:T44 U42:V42 V43 U44">
    <cfRule type="cellIs" priority="5" operator="notEqual" aboveAverage="0" equalAverage="0" bottom="0" percent="0" rank="0" text="" dxfId="696">
      <formula>0</formula>
    </cfRule>
  </conditionalFormatting>
  <conditionalFormatting sqref="B54:G54 B53:F53 B52:E52 B51:D51 B50:C50 B49 B55:H55 C48:K48 D49:K49 E50:K50 F51:K51 G52:K52 H53:K53 I54:K54 B56:I57 J55:K55 K56 J57">
    <cfRule type="cellIs" priority="6" operator="notEqual" aboveAverage="0" equalAverage="0" bottom="0" percent="0" rank="0" text="" dxfId="697">
      <formula>0</formula>
    </cfRule>
  </conditionalFormatting>
  <conditionalFormatting sqref="M54:R54 M53:Q53 M52:P52 M51:O51 M50:N50 M49 M55:S55 N48:V48 O49:V49 P50:V50 Q51:V51 R52:V52 S53:V53 T54:V54 M56:T57 U55:V55 V56 U57">
    <cfRule type="cellIs" priority="7" operator="notEqual" aboveAverage="0" equalAverage="0" bottom="0" percent="0" rank="0" text="" dxfId="698">
      <formula>0</formula>
    </cfRule>
  </conditionalFormatting>
  <conditionalFormatting sqref="B67:G67 B66:F66 B65:E65 B64:D64 B63:C63 B62 B68:H68 C61:K61 D62:K62 E63:K63 F64:K64 G65:K65 H66:K66 I67:K67 B69:I70 J68:K68 K69 J70">
    <cfRule type="cellIs" priority="8" operator="notEqual" aboveAverage="0" equalAverage="0" bottom="0" percent="0" rank="0" text="" dxfId="699">
      <formula>0</formula>
    </cfRule>
  </conditionalFormatting>
  <conditionalFormatting sqref="M67:R67 M66:Q66 M65:P65 M64:O64 M63:N63 M62 M68:S68 N61:V61 O62:V62 P63:V63 Q64:V64 R65:V65 S66:V66 T67:V67 M69:T70 U68:V68 V69 U70">
    <cfRule type="cellIs" priority="9" operator="notEqual" aboveAverage="0" equalAverage="0" bottom="0" percent="0" rank="0" text="" dxfId="700">
      <formula>0</formula>
    </cfRule>
  </conditionalFormatting>
  <conditionalFormatting sqref="B80:G80 B79:F79 B78:E78 B77:D77 B76:C76 B75 B81:H81 C74:K74 D75:K75 E76:K76 F77:K77 G78:K78 H79:K79 I80:K80 B82:I83 J81:K81 K82 J83">
    <cfRule type="cellIs" priority="10" operator="notEqual" aboveAverage="0" equalAverage="0" bottom="0" percent="0" rank="0" text="" dxfId="701">
      <formula>0</formula>
    </cfRule>
  </conditionalFormatting>
  <conditionalFormatting sqref="M80:R80 M79:Q79 M78:P78 M77:O77 M76:N76 M75 M81:S81 N74:V74 O75:V75 P76:V76 Q77:V77 R78:V78 S79:V79 T80:V80 M82:T83 U81:V81 V82 U83">
    <cfRule type="cellIs" priority="11" operator="notEqual" aboveAverage="0" equalAverage="0" bottom="0" percent="0" rank="0" text="" dxfId="702">
      <formula>0</formula>
    </cfRule>
  </conditionalFormatting>
  <conditionalFormatting sqref="B93:G93 B92:F92 B91:E91 B90:D90 B89:C89 B88 B94:H94 C87:K87 D88:K88 E89:K89 F90:K90 G91:K91 H92:K92 I93:K93 B95:I96 J94:K94 K95 J96">
    <cfRule type="cellIs" priority="12" operator="notEqual" aboveAverage="0" equalAverage="0" bottom="0" percent="0" rank="0" text="" dxfId="703">
      <formula>0</formula>
    </cfRule>
  </conditionalFormatting>
  <conditionalFormatting sqref="M93:R93 M92:Q92 M91:P91 M90:O90 M89:N89 M88 M94:S94 N87:V87 O88:V88 P89:V89 Q90:V90 R91:V91 S92:V92 T93:V93 M95:T96 U94:V94 V95 U96">
    <cfRule type="cellIs" priority="13" operator="notEqual" aboveAverage="0" equalAverage="0" bottom="0" percent="0" rank="0" text="" dxfId="704">
      <formula>0</formula>
    </cfRule>
  </conditionalFormatting>
  <conditionalFormatting sqref="B106:G106 B105:F105 B104:E104 B103:D103 B102:C102 B101 B107:H107 C100:K100 D101:K101 E102:K102 F103:K103 G104:K104 H105:K105 I106:K106 B108:I109 J107:K107 K108 J109">
    <cfRule type="cellIs" priority="14" operator="notEqual" aboveAverage="0" equalAverage="0" bottom="0" percent="0" rank="0" text="" dxfId="705">
      <formula>0</formula>
    </cfRule>
  </conditionalFormatting>
  <conditionalFormatting sqref="M106:R106 M105:Q105 M104:P104 M103:O103 M102:N102 M101 M107:S107 N100:V100 O101:V101 P102:V102 Q103:V103 R104:V104 S105:V105 T106:V106 M108:T109 U107:V107 V108 U109">
    <cfRule type="cellIs" priority="15" operator="notEqual" aboveAverage="0" equalAverage="0" bottom="0" percent="0" rank="0" text="" dxfId="706">
      <formula>0</formula>
    </cfRule>
  </conditionalFormatting>
  <conditionalFormatting sqref="B119:G119 B118:F118 B117:E117 B116:D116 B115:C115 B114 B120:H120 C113:K113 D114:K114 E115:K115 F116:K116 G117:K117 H118:K118 I119:K119 B121:I122 J120:K120 K121 J122">
    <cfRule type="cellIs" priority="16" operator="notEqual" aboveAverage="0" equalAverage="0" bottom="0" percent="0" rank="0" text="" dxfId="707">
      <formula>0</formula>
    </cfRule>
  </conditionalFormatting>
  <conditionalFormatting sqref="M119:R119 M118:Q118 M117:P117 M116:O116 M115:N115 M114 M120:S120 N113:V113 O114:V114 P115:V115 Q116:V116 R117:V117 S118:V118 T119:V119 M121:T122 U120:V120 V121 U122">
    <cfRule type="cellIs" priority="17" operator="notEqual" aboveAverage="0" equalAverage="0" bottom="0" percent="0" rank="0" text="" dxfId="708">
      <formula>0</formula>
    </cfRule>
  </conditionalFormatting>
  <conditionalFormatting sqref="B132:G132 B131:F131 B130:E130 B129:D129 B128:C128 B127 B133:H133 C126:K126 D127:K127 E128:K128 F129:K129 G130:K130 H131:K131 I132:K132 B134:I135 J133:K133 K134 J135">
    <cfRule type="cellIs" priority="18" operator="notEqual" aboveAverage="0" equalAverage="0" bottom="0" percent="0" rank="0" text="" dxfId="709">
      <formula>0</formula>
    </cfRule>
  </conditionalFormatting>
  <conditionalFormatting sqref="M132:R132 M131:Q131 M130:P130 M129:O129 M128:N128 M127 M133:S133 N126:V126 O127:V127 P128:V128 Q129:V129 R130:V130 S131:V131 T132:V132 M134:T135 U133:V133 V134 U135">
    <cfRule type="cellIs" priority="19" operator="notEqual" aboveAverage="0" equalAverage="0" bottom="0" percent="0" rank="0" text="" dxfId="710">
      <formula>0</formula>
    </cfRule>
  </conditionalFormatting>
  <conditionalFormatting sqref="B145:G145 B144:F144 B143:E143 B142:D142 B141:C141 B140 B146:H146 C139:K139 D140:K140 E141:K141 F142:K142 G143:K143 H144:K144 I145:K145 B147:I148 J146:K146 K147 J148">
    <cfRule type="cellIs" priority="20" operator="notEqual" aboveAverage="0" equalAverage="0" bottom="0" percent="0" rank="0" text="" dxfId="711">
      <formula>0</formula>
    </cfRule>
  </conditionalFormatting>
  <printOptions headings="false" gridLines="false" gridLinesSet="true" horizontalCentered="false" verticalCentered="false"/>
  <pageMargins left="0.747916666666667" right="0.590277777777778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&amp;Lhttp://bpmsg.com&amp;CAHP
Multiple Input Sheet&amp;R&amp;D</oddHeader>
    <oddFooter>&amp;C&amp;P of &amp;N&amp;R&amp;F-&amp;A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AG7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875" defaultRowHeight="12.75" zeroHeight="false" outlineLevelRow="1" outlineLevelCol="1"/>
  <cols>
    <col collapsed="false" customWidth="false" hidden="false" outlineLevel="0" max="1" min="1" style="385" width="8.86"/>
    <col collapsed="false" customWidth="true" hidden="false" outlineLevel="0" max="11" min="2" style="385" width="6.71"/>
    <col collapsed="false" customWidth="true" hidden="false" outlineLevel="0" max="12" min="12" style="385" width="7.87"/>
    <col collapsed="false" customWidth="true" hidden="false" outlineLevel="0" max="13" min="13" style="385" width="8.4"/>
    <col collapsed="false" customWidth="false" hidden="true" outlineLevel="1" max="32" min="14" style="385" width="8.86"/>
    <col collapsed="false" customWidth="false" hidden="false" outlineLevel="0" max="1024" min="33" style="385" width="8.86"/>
  </cols>
  <sheetData>
    <row r="1" s="388" customFormat="true" ht="18" hidden="false" customHeight="false" outlineLevel="0" collapsed="false">
      <c r="A1" s="386" t="s">
        <v>169</v>
      </c>
      <c r="B1" s="387" t="s">
        <v>181</v>
      </c>
      <c r="C1" s="386"/>
      <c r="M1" s="389" t="n">
        <f aca="false">Summary!B5</f>
        <v>2</v>
      </c>
    </row>
    <row r="2" customFormat="false" ht="12.75" hidden="false" customHeight="false" outlineLevel="0" collapsed="false">
      <c r="A2" s="390"/>
      <c r="B2" s="385" t="s">
        <v>182</v>
      </c>
    </row>
    <row r="3" customFormat="false" ht="12.75" hidden="false" customHeight="false" outlineLevel="0" collapsed="false">
      <c r="M3" s="391" t="s">
        <v>183</v>
      </c>
    </row>
    <row r="4" customFormat="false" ht="12.75" hidden="false" customHeight="false" outlineLevel="0" collapsed="false">
      <c r="B4" s="392" t="n">
        <v>1</v>
      </c>
      <c r="C4" s="392" t="n">
        <v>2</v>
      </c>
      <c r="D4" s="392" t="n">
        <v>3</v>
      </c>
      <c r="E4" s="392" t="n">
        <v>4</v>
      </c>
      <c r="F4" s="392" t="n">
        <v>5</v>
      </c>
      <c r="G4" s="392" t="n">
        <v>6</v>
      </c>
      <c r="H4" s="392" t="n">
        <v>7</v>
      </c>
      <c r="I4" s="392" t="n">
        <v>8</v>
      </c>
      <c r="J4" s="392" t="n">
        <v>9</v>
      </c>
      <c r="K4" s="392" t="n">
        <v>10</v>
      </c>
      <c r="M4" s="385" t="n">
        <v>0</v>
      </c>
      <c r="N4" s="385" t="n">
        <v>1</v>
      </c>
      <c r="O4" s="385" t="n">
        <v>2</v>
      </c>
      <c r="P4" s="385" t="n">
        <v>3</v>
      </c>
      <c r="Q4" s="385" t="n">
        <v>4</v>
      </c>
      <c r="R4" s="385" t="n">
        <v>5</v>
      </c>
      <c r="S4" s="385" t="n">
        <v>6</v>
      </c>
      <c r="T4" s="385" t="n">
        <v>7</v>
      </c>
      <c r="U4" s="385" t="n">
        <v>8</v>
      </c>
      <c r="V4" s="385" t="n">
        <v>9</v>
      </c>
      <c r="W4" s="385" t="n">
        <v>10</v>
      </c>
      <c r="X4" s="385" t="n">
        <v>11</v>
      </c>
      <c r="Y4" s="385" t="n">
        <v>12</v>
      </c>
      <c r="Z4" s="385" t="n">
        <v>13</v>
      </c>
      <c r="AA4" s="385" t="n">
        <v>14</v>
      </c>
      <c r="AB4" s="385" t="n">
        <v>15</v>
      </c>
      <c r="AC4" s="385" t="n">
        <v>16</v>
      </c>
      <c r="AD4" s="385" t="n">
        <v>17</v>
      </c>
      <c r="AE4" s="385" t="n">
        <v>18</v>
      </c>
      <c r="AF4" s="385" t="n">
        <v>19</v>
      </c>
      <c r="AG4" s="385" t="n">
        <v>20</v>
      </c>
    </row>
    <row r="5" customFormat="false" ht="12.75" hidden="false" customHeight="false" outlineLevel="0" collapsed="false">
      <c r="A5" s="393" t="n">
        <v>1</v>
      </c>
      <c r="B5" s="394" t="n">
        <v>1</v>
      </c>
      <c r="C5" s="395" t="n">
        <f aca="false">IF(ISNA(Summary!D38),0,Summary!D38)</f>
        <v>1</v>
      </c>
      <c r="D5" s="395" t="n">
        <f aca="false">IF(ISNA(Summary!E38),0,Summary!E38)</f>
        <v>0</v>
      </c>
      <c r="E5" s="395" t="n">
        <f aca="false">IF(ISNA(Summary!F38),0,Summary!F38)</f>
        <v>0</v>
      </c>
      <c r="F5" s="395" t="n">
        <f aca="false">IF(ISNA(Summary!G38),0,Summary!G38)</f>
        <v>0</v>
      </c>
      <c r="G5" s="395" t="n">
        <f aca="false">IF(ISNA(Summary!H38),0,Summary!H38)</f>
        <v>0</v>
      </c>
      <c r="H5" s="395" t="n">
        <f aca="false">IF(ISNA(Summary!I38),0,Summary!I38)</f>
        <v>0</v>
      </c>
      <c r="I5" s="395" t="n">
        <f aca="false">IF(ISNA(Summary!J38),0,Summary!J38)</f>
        <v>0</v>
      </c>
      <c r="J5" s="395" t="n">
        <f aca="false">IF(ISNA(Summary!K38),0,Summary!K38)</f>
        <v>0</v>
      </c>
      <c r="K5" s="395" t="n">
        <f aca="false">IF(ISNA(Summary!L38),0,Summary!L38)</f>
        <v>0</v>
      </c>
      <c r="M5" s="396" t="n">
        <f aca="false">SUM(B5:K5)/10</f>
        <v>0.2</v>
      </c>
      <c r="N5" s="395" t="n">
        <f aca="false" t="array" ref="N5:N14">MMULT($B5:$K14,M5:M14)</f>
        <v>0.4</v>
      </c>
      <c r="O5" s="395" t="n">
        <f aca="false" t="array" ref="O5:O14">MMULT($B5:$K14,N16:N25)</f>
        <v>2</v>
      </c>
      <c r="P5" s="395" t="n">
        <f aca="false" t="array" ref="P5:P14">MMULT($B5:$K14,O16:O25)</f>
        <v>2</v>
      </c>
      <c r="Q5" s="395" t="n">
        <f aca="false" t="array" ref="Q5:Q14">MMULT($B5:$K14,P16:P25)</f>
        <v>2</v>
      </c>
      <c r="R5" s="395" t="n">
        <f aca="false" t="array" ref="R5:R14">MMULT($B5:$K14,Q16:Q25)</f>
        <v>2</v>
      </c>
      <c r="S5" s="395" t="n">
        <f aca="false" t="array" ref="S5:S14">MMULT($B5:$K14,R16:R25)</f>
        <v>2</v>
      </c>
      <c r="T5" s="395" t="n">
        <f aca="false" t="array" ref="T5:T14">MMULT($B5:$K14,S16:S25)</f>
        <v>2</v>
      </c>
      <c r="U5" s="395" t="n">
        <f aca="false" t="array" ref="U5:U14">MMULT($B5:$K14,T16:T25)</f>
        <v>2</v>
      </c>
      <c r="V5" s="395" t="n">
        <f aca="false" t="array" ref="V5:V14">MMULT($B5:$K14,U16:U25)</f>
        <v>2</v>
      </c>
      <c r="W5" s="395" t="n">
        <f aca="false" t="array" ref="W5:W14">MMULT($B5:$K14,V16:V25)</f>
        <v>2</v>
      </c>
      <c r="X5" s="395" t="n">
        <f aca="false" t="array" ref="X5:X14">MMULT($B5:$K14,W16:W25)</f>
        <v>2</v>
      </c>
      <c r="Y5" s="395" t="n">
        <f aca="false" t="array" ref="Y5:Y14">MMULT($B5:$K14,X16:X25)</f>
        <v>2</v>
      </c>
      <c r="Z5" s="395" t="n">
        <f aca="false" t="array" ref="Z5:Z14">MMULT($B5:$K14,Y16:Y25)</f>
        <v>2</v>
      </c>
      <c r="AA5" s="395" t="n">
        <f aca="false" t="array" ref="AA5:AA14">MMULT($B5:$K14,Z16:Z25)</f>
        <v>2</v>
      </c>
      <c r="AB5" s="395" t="n">
        <f aca="false" t="array" ref="AB5:AB14">MMULT($B5:$K14,AA16:AA25)</f>
        <v>2</v>
      </c>
      <c r="AC5" s="395" t="n">
        <f aca="false" t="array" ref="AC5:AC14">MMULT($B5:$K14,AB16:AB25)</f>
        <v>2</v>
      </c>
      <c r="AD5" s="395" t="n">
        <f aca="false" t="array" ref="AD5:AD14">MMULT($B5:$K14,AC16:AC25)</f>
        <v>2</v>
      </c>
      <c r="AE5" s="395" t="n">
        <f aca="false" t="array" ref="AE5:AE14">MMULT($B5:$K14,AD16:AD25)</f>
        <v>2</v>
      </c>
      <c r="AF5" s="395" t="n">
        <f aca="false" t="array" ref="AF5:AF14">MMULT($B5:$K14,AE16:AE25)</f>
        <v>2</v>
      </c>
      <c r="AG5" s="395" t="n">
        <f aca="false" t="array" ref="AG5:AG14">MMULT($B5:$K14,AF16:AF25)</f>
        <v>2</v>
      </c>
    </row>
    <row r="6" customFormat="false" ht="12.75" hidden="false" customHeight="false" outlineLevel="0" collapsed="false">
      <c r="A6" s="393" t="n">
        <v>2</v>
      </c>
      <c r="B6" s="395" t="n">
        <f aca="false">IF(ISNA(Summary!C39),0,Summary!C39)</f>
        <v>1</v>
      </c>
      <c r="C6" s="394" t="n">
        <v>1</v>
      </c>
      <c r="D6" s="395" t="n">
        <f aca="false">IF(ISNA(Summary!E39),0,Summary!E39)</f>
        <v>0</v>
      </c>
      <c r="E6" s="395" t="n">
        <f aca="false">IF(ISNA(Summary!F39),0,Summary!F39)</f>
        <v>0</v>
      </c>
      <c r="F6" s="395" t="n">
        <f aca="false">IF(ISNA(Summary!G39),0,Summary!G39)</f>
        <v>0</v>
      </c>
      <c r="G6" s="395" t="n">
        <f aca="false">IF(ISNA(Summary!H39),0,Summary!H39)</f>
        <v>0</v>
      </c>
      <c r="H6" s="395" t="n">
        <f aca="false">IF(ISNA(Summary!I39),0,Summary!I39)</f>
        <v>0</v>
      </c>
      <c r="I6" s="395" t="n">
        <f aca="false">IF(ISNA(Summary!J39),0,Summary!J39)</f>
        <v>0</v>
      </c>
      <c r="J6" s="395" t="n">
        <f aca="false">IF(ISNA(Summary!K39),0,Summary!K39)</f>
        <v>0</v>
      </c>
      <c r="K6" s="395" t="n">
        <f aca="false">IF(ISNA(Summary!L39),0,Summary!L39)</f>
        <v>0</v>
      </c>
      <c r="M6" s="396" t="n">
        <f aca="false">SUM(B6:K6)/10</f>
        <v>0.2</v>
      </c>
      <c r="N6" s="395" t="n">
        <v>0.4</v>
      </c>
      <c r="O6" s="395" t="n">
        <v>2</v>
      </c>
      <c r="P6" s="395" t="n">
        <v>2</v>
      </c>
      <c r="Q6" s="395" t="n">
        <v>2</v>
      </c>
      <c r="R6" s="395" t="n">
        <v>2</v>
      </c>
      <c r="S6" s="395" t="n">
        <v>2</v>
      </c>
      <c r="T6" s="395" t="n">
        <v>2</v>
      </c>
      <c r="U6" s="395" t="n">
        <v>2</v>
      </c>
      <c r="V6" s="395" t="n">
        <v>2</v>
      </c>
      <c r="W6" s="395" t="n">
        <v>2</v>
      </c>
      <c r="X6" s="395" t="n">
        <v>2</v>
      </c>
      <c r="Y6" s="395" t="n">
        <v>2</v>
      </c>
      <c r="Z6" s="395" t="n">
        <v>2</v>
      </c>
      <c r="AA6" s="395" t="n">
        <v>2</v>
      </c>
      <c r="AB6" s="395" t="n">
        <v>2</v>
      </c>
      <c r="AC6" s="395" t="n">
        <v>2</v>
      </c>
      <c r="AD6" s="395" t="n">
        <v>2</v>
      </c>
      <c r="AE6" s="395" t="n">
        <v>2</v>
      </c>
      <c r="AF6" s="395" t="n">
        <v>2</v>
      </c>
      <c r="AG6" s="395" t="n">
        <v>2</v>
      </c>
    </row>
    <row r="7" customFormat="false" ht="12.75" hidden="false" customHeight="false" outlineLevel="0" collapsed="false">
      <c r="A7" s="393" t="n">
        <v>3</v>
      </c>
      <c r="B7" s="395" t="n">
        <f aca="false">IF(ISNA(Summary!C40),0,Summary!C40)</f>
        <v>0</v>
      </c>
      <c r="C7" s="395" t="n">
        <f aca="false">IF(ISNA(Summary!D40),0,Summary!D40)</f>
        <v>0</v>
      </c>
      <c r="D7" s="394" t="n">
        <v>1</v>
      </c>
      <c r="E7" s="395" t="n">
        <f aca="false">IF(ISNA(Summary!F40),0,Summary!F40)</f>
        <v>0</v>
      </c>
      <c r="F7" s="395" t="n">
        <f aca="false">IF(ISNA(Summary!G40),0,Summary!G40)</f>
        <v>0</v>
      </c>
      <c r="G7" s="395" t="n">
        <f aca="false">IF(ISNA(Summary!H40),0,Summary!H40)</f>
        <v>0</v>
      </c>
      <c r="H7" s="395" t="n">
        <f aca="false">IF(ISNA(Summary!I40),0,Summary!I40)</f>
        <v>0</v>
      </c>
      <c r="I7" s="395" t="n">
        <f aca="false">IF(ISNA(Summary!J40),0,Summary!J40)</f>
        <v>0</v>
      </c>
      <c r="J7" s="395" t="n">
        <f aca="false">IF(ISNA(Summary!K40),0,Summary!K40)</f>
        <v>0</v>
      </c>
      <c r="K7" s="395" t="n">
        <f aca="false">IF(ISNA(Summary!L40),0,Summary!L40)</f>
        <v>0</v>
      </c>
      <c r="M7" s="396" t="n">
        <f aca="false">SUM(B7:K7)/10</f>
        <v>0.1</v>
      </c>
      <c r="N7" s="395" t="n">
        <v>0.1</v>
      </c>
      <c r="O7" s="395" t="n">
        <v>0.25</v>
      </c>
      <c r="P7" s="395" t="n">
        <v>0.125</v>
      </c>
      <c r="Q7" s="395" t="n">
        <v>0.0625</v>
      </c>
      <c r="R7" s="395" t="n">
        <v>0.03125</v>
      </c>
      <c r="S7" s="395" t="n">
        <v>0.015625</v>
      </c>
      <c r="T7" s="395" t="n">
        <v>0.0078125</v>
      </c>
      <c r="U7" s="395" t="n">
        <v>0.00390625</v>
      </c>
      <c r="V7" s="395" t="n">
        <v>0.001953125</v>
      </c>
      <c r="W7" s="395" t="n">
        <v>0.0009765625</v>
      </c>
      <c r="X7" s="395" t="n">
        <v>0.00048828125</v>
      </c>
      <c r="Y7" s="395" t="n">
        <v>0.000244140625</v>
      </c>
      <c r="Z7" s="395" t="n">
        <v>0.0001220703125</v>
      </c>
      <c r="AA7" s="395" t="n">
        <v>6.103515625E-005</v>
      </c>
      <c r="AB7" s="395" t="n">
        <v>3.0517578125E-005</v>
      </c>
      <c r="AC7" s="395" t="n">
        <v>1.52587890625E-005</v>
      </c>
      <c r="AD7" s="395" t="n">
        <v>7.62939453125E-006</v>
      </c>
      <c r="AE7" s="395" t="n">
        <v>3.814697265625E-006</v>
      </c>
      <c r="AF7" s="395" t="n">
        <v>1.9073486328125E-006</v>
      </c>
      <c r="AG7" s="395" t="n">
        <v>9.5367431640625E-007</v>
      </c>
    </row>
    <row r="8" customFormat="false" ht="12.75" hidden="false" customHeight="false" outlineLevel="0" collapsed="false">
      <c r="A8" s="393" t="n">
        <v>4</v>
      </c>
      <c r="B8" s="395" t="n">
        <f aca="false">IF(ISNA(Summary!C41),0,Summary!C41)</f>
        <v>0</v>
      </c>
      <c r="C8" s="395" t="n">
        <f aca="false">IF(ISNA(Summary!D41),0,Summary!D41)</f>
        <v>0</v>
      </c>
      <c r="D8" s="395" t="n">
        <f aca="false">IF(ISNA(Summary!E41),0,Summary!E41)</f>
        <v>0</v>
      </c>
      <c r="E8" s="394" t="n">
        <v>1</v>
      </c>
      <c r="F8" s="395" t="n">
        <f aca="false">IF(ISNA(Summary!G41),0,Summary!G41)</f>
        <v>0</v>
      </c>
      <c r="G8" s="395" t="n">
        <f aca="false">IF(ISNA(Summary!H41),0,Summary!H41)</f>
        <v>0</v>
      </c>
      <c r="H8" s="395" t="n">
        <f aca="false">IF(ISNA(Summary!I41),0,Summary!I41)</f>
        <v>0</v>
      </c>
      <c r="I8" s="395" t="n">
        <f aca="false">IF(ISNA(Summary!J41),0,Summary!J41)</f>
        <v>0</v>
      </c>
      <c r="J8" s="395" t="n">
        <f aca="false">IF(ISNA(Summary!K41),0,Summary!K41)</f>
        <v>0</v>
      </c>
      <c r="K8" s="395" t="n">
        <f aca="false">IF(ISNA(Summary!L41),0,Summary!L41)</f>
        <v>0</v>
      </c>
      <c r="M8" s="396" t="n">
        <f aca="false">SUM(B8:K8)/10</f>
        <v>0.1</v>
      </c>
      <c r="N8" s="395" t="n">
        <v>0.1</v>
      </c>
      <c r="O8" s="395" t="n">
        <v>0.25</v>
      </c>
      <c r="P8" s="395" t="n">
        <v>0.125</v>
      </c>
      <c r="Q8" s="395" t="n">
        <v>0.0625</v>
      </c>
      <c r="R8" s="395" t="n">
        <v>0.03125</v>
      </c>
      <c r="S8" s="395" t="n">
        <v>0.015625</v>
      </c>
      <c r="T8" s="395" t="n">
        <v>0.0078125</v>
      </c>
      <c r="U8" s="395" t="n">
        <v>0.00390625</v>
      </c>
      <c r="V8" s="395" t="n">
        <v>0.001953125</v>
      </c>
      <c r="W8" s="395" t="n">
        <v>0.0009765625</v>
      </c>
      <c r="X8" s="395" t="n">
        <v>0.00048828125</v>
      </c>
      <c r="Y8" s="395" t="n">
        <v>0.000244140625</v>
      </c>
      <c r="Z8" s="395" t="n">
        <v>0.0001220703125</v>
      </c>
      <c r="AA8" s="395" t="n">
        <v>6.103515625E-005</v>
      </c>
      <c r="AB8" s="395" t="n">
        <v>3.0517578125E-005</v>
      </c>
      <c r="AC8" s="395" t="n">
        <v>1.52587890625E-005</v>
      </c>
      <c r="AD8" s="395" t="n">
        <v>7.62939453125E-006</v>
      </c>
      <c r="AE8" s="395" t="n">
        <v>3.814697265625E-006</v>
      </c>
      <c r="AF8" s="395" t="n">
        <v>1.9073486328125E-006</v>
      </c>
      <c r="AG8" s="395" t="n">
        <v>9.5367431640625E-007</v>
      </c>
    </row>
    <row r="9" customFormat="false" ht="12.75" hidden="false" customHeight="false" outlineLevel="0" collapsed="false">
      <c r="A9" s="393" t="n">
        <v>5</v>
      </c>
      <c r="B9" s="395" t="n">
        <f aca="false">IF(ISNA(Summary!C42),0,Summary!C42)</f>
        <v>0</v>
      </c>
      <c r="C9" s="395" t="n">
        <f aca="false">IF(ISNA(Summary!D42),0,Summary!D42)</f>
        <v>0</v>
      </c>
      <c r="D9" s="395" t="n">
        <f aca="false">IF(ISNA(Summary!E42),0,Summary!E42)</f>
        <v>0</v>
      </c>
      <c r="E9" s="395" t="n">
        <f aca="false">IF(ISNA(Summary!F42),0,Summary!F42)</f>
        <v>0</v>
      </c>
      <c r="F9" s="394" t="n">
        <v>1</v>
      </c>
      <c r="G9" s="395" t="n">
        <f aca="false">IF(ISNA(Summary!H42),0,Summary!H42)</f>
        <v>0</v>
      </c>
      <c r="H9" s="395" t="n">
        <f aca="false">IF(ISNA(Summary!I42),0,Summary!I42)</f>
        <v>0</v>
      </c>
      <c r="I9" s="395" t="n">
        <f aca="false">IF(ISNA(Summary!J42),0,Summary!J42)</f>
        <v>0</v>
      </c>
      <c r="J9" s="395" t="n">
        <f aca="false">IF(ISNA(Summary!K42),0,Summary!K42)</f>
        <v>0</v>
      </c>
      <c r="K9" s="395" t="n">
        <f aca="false">IF(ISNA(Summary!L42),0,Summary!L42)</f>
        <v>0</v>
      </c>
      <c r="M9" s="396" t="n">
        <f aca="false">SUM(B9:K9)/10</f>
        <v>0.1</v>
      </c>
      <c r="N9" s="395" t="n">
        <v>0.1</v>
      </c>
      <c r="O9" s="395" t="n">
        <v>0.25</v>
      </c>
      <c r="P9" s="395" t="n">
        <v>0.125</v>
      </c>
      <c r="Q9" s="395" t="n">
        <v>0.0625</v>
      </c>
      <c r="R9" s="395" t="n">
        <v>0.03125</v>
      </c>
      <c r="S9" s="395" t="n">
        <v>0.015625</v>
      </c>
      <c r="T9" s="395" t="n">
        <v>0.0078125</v>
      </c>
      <c r="U9" s="395" t="n">
        <v>0.00390625</v>
      </c>
      <c r="V9" s="395" t="n">
        <v>0.001953125</v>
      </c>
      <c r="W9" s="395" t="n">
        <v>0.0009765625</v>
      </c>
      <c r="X9" s="395" t="n">
        <v>0.00048828125</v>
      </c>
      <c r="Y9" s="395" t="n">
        <v>0.000244140625</v>
      </c>
      <c r="Z9" s="395" t="n">
        <v>0.0001220703125</v>
      </c>
      <c r="AA9" s="395" t="n">
        <v>6.103515625E-005</v>
      </c>
      <c r="AB9" s="395" t="n">
        <v>3.0517578125E-005</v>
      </c>
      <c r="AC9" s="395" t="n">
        <v>1.52587890625E-005</v>
      </c>
      <c r="AD9" s="395" t="n">
        <v>7.62939453125E-006</v>
      </c>
      <c r="AE9" s="395" t="n">
        <v>3.814697265625E-006</v>
      </c>
      <c r="AF9" s="395" t="n">
        <v>1.9073486328125E-006</v>
      </c>
      <c r="AG9" s="395" t="n">
        <v>9.5367431640625E-007</v>
      </c>
    </row>
    <row r="10" customFormat="false" ht="12.75" hidden="false" customHeight="false" outlineLevel="0" collapsed="false">
      <c r="A10" s="393" t="n">
        <v>6</v>
      </c>
      <c r="B10" s="395" t="n">
        <f aca="false">IF(ISNA(Summary!C43),0,Summary!C43)</f>
        <v>0</v>
      </c>
      <c r="C10" s="395" t="n">
        <f aca="false">IF(ISNA(Summary!D43),0,Summary!D43)</f>
        <v>0</v>
      </c>
      <c r="D10" s="395" t="n">
        <f aca="false">IF(ISNA(Summary!E43),0,Summary!E43)</f>
        <v>0</v>
      </c>
      <c r="E10" s="395" t="n">
        <f aca="false">IF(ISNA(Summary!F43),0,Summary!F43)</f>
        <v>0</v>
      </c>
      <c r="F10" s="395" t="n">
        <f aca="false">IF(ISNA(Summary!G43),0,Summary!G43)</f>
        <v>0</v>
      </c>
      <c r="G10" s="394" t="n">
        <v>1</v>
      </c>
      <c r="H10" s="395" t="n">
        <f aca="false">IF(ISNA(Summary!I43),0,Summary!I43)</f>
        <v>0</v>
      </c>
      <c r="I10" s="395" t="n">
        <f aca="false">IF(ISNA(Summary!J43),0,Summary!J43)</f>
        <v>0</v>
      </c>
      <c r="J10" s="395" t="n">
        <f aca="false">IF(ISNA(Summary!K43),0,Summary!K43)</f>
        <v>0</v>
      </c>
      <c r="K10" s="395" t="n">
        <f aca="false">IF(ISNA(Summary!L43),0,Summary!L43)</f>
        <v>0</v>
      </c>
      <c r="M10" s="396" t="n">
        <f aca="false">SUM(B10:K10)/10</f>
        <v>0.1</v>
      </c>
      <c r="N10" s="395" t="n">
        <v>0.1</v>
      </c>
      <c r="O10" s="395" t="n">
        <v>0.25</v>
      </c>
      <c r="P10" s="395" t="n">
        <v>0.125</v>
      </c>
      <c r="Q10" s="395" t="n">
        <v>0.0625</v>
      </c>
      <c r="R10" s="395" t="n">
        <v>0.03125</v>
      </c>
      <c r="S10" s="395" t="n">
        <v>0.015625</v>
      </c>
      <c r="T10" s="395" t="n">
        <v>0.0078125</v>
      </c>
      <c r="U10" s="395" t="n">
        <v>0.00390625</v>
      </c>
      <c r="V10" s="395" t="n">
        <v>0.001953125</v>
      </c>
      <c r="W10" s="395" t="n">
        <v>0.0009765625</v>
      </c>
      <c r="X10" s="395" t="n">
        <v>0.00048828125</v>
      </c>
      <c r="Y10" s="395" t="n">
        <v>0.000244140625</v>
      </c>
      <c r="Z10" s="395" t="n">
        <v>0.0001220703125</v>
      </c>
      <c r="AA10" s="395" t="n">
        <v>6.103515625E-005</v>
      </c>
      <c r="AB10" s="395" t="n">
        <v>3.0517578125E-005</v>
      </c>
      <c r="AC10" s="395" t="n">
        <v>1.52587890625E-005</v>
      </c>
      <c r="AD10" s="395" t="n">
        <v>7.62939453125E-006</v>
      </c>
      <c r="AE10" s="395" t="n">
        <v>3.814697265625E-006</v>
      </c>
      <c r="AF10" s="395" t="n">
        <v>1.9073486328125E-006</v>
      </c>
      <c r="AG10" s="395" t="n">
        <v>9.5367431640625E-007</v>
      </c>
    </row>
    <row r="11" customFormat="false" ht="12.75" hidden="false" customHeight="false" outlineLevel="0" collapsed="false">
      <c r="A11" s="393" t="n">
        <v>7</v>
      </c>
      <c r="B11" s="395" t="n">
        <f aca="false">IF(ISNA(Summary!C44),0,Summary!C44)</f>
        <v>0</v>
      </c>
      <c r="C11" s="395" t="n">
        <f aca="false">IF(ISNA(Summary!D44),0,Summary!D44)</f>
        <v>0</v>
      </c>
      <c r="D11" s="395" t="n">
        <f aca="false">IF(ISNA(Summary!E44),0,Summary!E44)</f>
        <v>0</v>
      </c>
      <c r="E11" s="395" t="n">
        <f aca="false">IF(ISNA(Summary!F44),0,Summary!F44)</f>
        <v>0</v>
      </c>
      <c r="F11" s="395" t="n">
        <f aca="false">IF(ISNA(Summary!G44),0,Summary!G44)</f>
        <v>0</v>
      </c>
      <c r="G11" s="395" t="n">
        <f aca="false">IF(ISNA(Summary!H44),0,Summary!H44)</f>
        <v>0</v>
      </c>
      <c r="H11" s="394" t="n">
        <v>1</v>
      </c>
      <c r="I11" s="395" t="n">
        <f aca="false">IF(ISNA(Summary!J44),0,Summary!J44)</f>
        <v>0</v>
      </c>
      <c r="J11" s="395" t="n">
        <f aca="false">IF(ISNA(Summary!K44),0,Summary!K44)</f>
        <v>0</v>
      </c>
      <c r="K11" s="395" t="n">
        <f aca="false">IF(ISNA(Summary!L44),0,Summary!L44)</f>
        <v>0</v>
      </c>
      <c r="M11" s="396" t="n">
        <f aca="false">SUM(B11:K11)/10</f>
        <v>0.1</v>
      </c>
      <c r="N11" s="395" t="n">
        <v>0.1</v>
      </c>
      <c r="O11" s="395" t="n">
        <v>0.25</v>
      </c>
      <c r="P11" s="395" t="n">
        <v>0.125</v>
      </c>
      <c r="Q11" s="395" t="n">
        <v>0.0625</v>
      </c>
      <c r="R11" s="395" t="n">
        <v>0.03125</v>
      </c>
      <c r="S11" s="395" t="n">
        <v>0.015625</v>
      </c>
      <c r="T11" s="395" t="n">
        <v>0.0078125</v>
      </c>
      <c r="U11" s="395" t="n">
        <v>0.00390625</v>
      </c>
      <c r="V11" s="395" t="n">
        <v>0.001953125</v>
      </c>
      <c r="W11" s="395" t="n">
        <v>0.0009765625</v>
      </c>
      <c r="X11" s="395" t="n">
        <v>0.00048828125</v>
      </c>
      <c r="Y11" s="395" t="n">
        <v>0.000244140625</v>
      </c>
      <c r="Z11" s="395" t="n">
        <v>0.0001220703125</v>
      </c>
      <c r="AA11" s="395" t="n">
        <v>6.103515625E-005</v>
      </c>
      <c r="AB11" s="395" t="n">
        <v>3.0517578125E-005</v>
      </c>
      <c r="AC11" s="395" t="n">
        <v>1.52587890625E-005</v>
      </c>
      <c r="AD11" s="395" t="n">
        <v>7.62939453125E-006</v>
      </c>
      <c r="AE11" s="395" t="n">
        <v>3.814697265625E-006</v>
      </c>
      <c r="AF11" s="395" t="n">
        <v>1.9073486328125E-006</v>
      </c>
      <c r="AG11" s="395" t="n">
        <v>9.5367431640625E-007</v>
      </c>
    </row>
    <row r="12" customFormat="false" ht="12.75" hidden="false" customHeight="false" outlineLevel="0" collapsed="false">
      <c r="A12" s="393" t="n">
        <v>8</v>
      </c>
      <c r="B12" s="395" t="n">
        <f aca="false">IF(ISNA(Summary!C45),0,Summary!C45)</f>
        <v>0</v>
      </c>
      <c r="C12" s="395" t="n">
        <f aca="false">IF(ISNA(Summary!D45),0,Summary!D45)</f>
        <v>0</v>
      </c>
      <c r="D12" s="395" t="n">
        <f aca="false">IF(ISNA(Summary!E45),0,Summary!E45)</f>
        <v>0</v>
      </c>
      <c r="E12" s="395" t="n">
        <f aca="false">IF(ISNA(Summary!F45),0,Summary!F45)</f>
        <v>0</v>
      </c>
      <c r="F12" s="395" t="n">
        <f aca="false">IF(ISNA(Summary!G45),0,Summary!G45)</f>
        <v>0</v>
      </c>
      <c r="G12" s="395" t="n">
        <f aca="false">IF(ISNA(Summary!H45),0,Summary!H45)</f>
        <v>0</v>
      </c>
      <c r="H12" s="395" t="n">
        <f aca="false">IF(ISNA(Summary!I45),0,Summary!I45)</f>
        <v>0</v>
      </c>
      <c r="I12" s="394" t="n">
        <v>1</v>
      </c>
      <c r="J12" s="395" t="n">
        <f aca="false">IF(ISNA(Summary!K45),0,Summary!K45)</f>
        <v>0</v>
      </c>
      <c r="K12" s="395" t="n">
        <f aca="false">IF(ISNA(Summary!L45),0,Summary!L45)</f>
        <v>0</v>
      </c>
      <c r="M12" s="396" t="n">
        <f aca="false">SUM(B12:K12)/10</f>
        <v>0.1</v>
      </c>
      <c r="N12" s="395" t="n">
        <v>0.1</v>
      </c>
      <c r="O12" s="395" t="n">
        <v>0.25</v>
      </c>
      <c r="P12" s="395" t="n">
        <v>0.125</v>
      </c>
      <c r="Q12" s="395" t="n">
        <v>0.0625</v>
      </c>
      <c r="R12" s="395" t="n">
        <v>0.03125</v>
      </c>
      <c r="S12" s="395" t="n">
        <v>0.015625</v>
      </c>
      <c r="T12" s="395" t="n">
        <v>0.0078125</v>
      </c>
      <c r="U12" s="395" t="n">
        <v>0.00390625</v>
      </c>
      <c r="V12" s="395" t="n">
        <v>0.001953125</v>
      </c>
      <c r="W12" s="395" t="n">
        <v>0.0009765625</v>
      </c>
      <c r="X12" s="395" t="n">
        <v>0.00048828125</v>
      </c>
      <c r="Y12" s="395" t="n">
        <v>0.000244140625</v>
      </c>
      <c r="Z12" s="395" t="n">
        <v>0.0001220703125</v>
      </c>
      <c r="AA12" s="395" t="n">
        <v>6.103515625E-005</v>
      </c>
      <c r="AB12" s="395" t="n">
        <v>3.0517578125E-005</v>
      </c>
      <c r="AC12" s="395" t="n">
        <v>1.52587890625E-005</v>
      </c>
      <c r="AD12" s="395" t="n">
        <v>7.62939453125E-006</v>
      </c>
      <c r="AE12" s="395" t="n">
        <v>3.814697265625E-006</v>
      </c>
      <c r="AF12" s="395" t="n">
        <v>1.9073486328125E-006</v>
      </c>
      <c r="AG12" s="395" t="n">
        <v>9.5367431640625E-007</v>
      </c>
    </row>
    <row r="13" customFormat="false" ht="12.75" hidden="false" customHeight="false" outlineLevel="0" collapsed="false">
      <c r="A13" s="393" t="n">
        <v>9</v>
      </c>
      <c r="B13" s="395" t="n">
        <f aca="false">IF(ISNA(Summary!C46),0,Summary!C46)</f>
        <v>0</v>
      </c>
      <c r="C13" s="395" t="n">
        <f aca="false">IF(ISNA(Summary!D46),0,Summary!D46)</f>
        <v>0</v>
      </c>
      <c r="D13" s="395" t="n">
        <f aca="false">IF(ISNA(Summary!E46),0,Summary!E46)</f>
        <v>0</v>
      </c>
      <c r="E13" s="395" t="n">
        <f aca="false">IF(ISNA(Summary!F46),0,Summary!F46)</f>
        <v>0</v>
      </c>
      <c r="F13" s="395" t="n">
        <f aca="false">IF(ISNA(Summary!G46),0,Summary!G46)</f>
        <v>0</v>
      </c>
      <c r="G13" s="395" t="n">
        <f aca="false">IF(ISNA(Summary!H46),0,Summary!H46)</f>
        <v>0</v>
      </c>
      <c r="H13" s="395" t="n">
        <f aca="false">IF(ISNA(Summary!I46),0,Summary!I46)</f>
        <v>0</v>
      </c>
      <c r="I13" s="395" t="n">
        <f aca="false">IF(ISNA(Summary!J46),0,Summary!J46)</f>
        <v>0</v>
      </c>
      <c r="J13" s="394" t="n">
        <v>1</v>
      </c>
      <c r="K13" s="395" t="n">
        <f aca="false">IF(ISNA(Summary!L46),0,Summary!L46)</f>
        <v>0</v>
      </c>
      <c r="M13" s="396" t="n">
        <f aca="false">SUM(B13:K13)/10</f>
        <v>0.1</v>
      </c>
      <c r="N13" s="395" t="n">
        <v>0.1</v>
      </c>
      <c r="O13" s="395" t="n">
        <v>0.25</v>
      </c>
      <c r="P13" s="395" t="n">
        <v>0.125</v>
      </c>
      <c r="Q13" s="395" t="n">
        <v>0.0625</v>
      </c>
      <c r="R13" s="395" t="n">
        <v>0.03125</v>
      </c>
      <c r="S13" s="395" t="n">
        <v>0.015625</v>
      </c>
      <c r="T13" s="395" t="n">
        <v>0.0078125</v>
      </c>
      <c r="U13" s="395" t="n">
        <v>0.00390625</v>
      </c>
      <c r="V13" s="395" t="n">
        <v>0.001953125</v>
      </c>
      <c r="W13" s="395" t="n">
        <v>0.0009765625</v>
      </c>
      <c r="X13" s="395" t="n">
        <v>0.00048828125</v>
      </c>
      <c r="Y13" s="395" t="n">
        <v>0.000244140625</v>
      </c>
      <c r="Z13" s="395" t="n">
        <v>0.0001220703125</v>
      </c>
      <c r="AA13" s="395" t="n">
        <v>6.103515625E-005</v>
      </c>
      <c r="AB13" s="395" t="n">
        <v>3.0517578125E-005</v>
      </c>
      <c r="AC13" s="395" t="n">
        <v>1.52587890625E-005</v>
      </c>
      <c r="AD13" s="395" t="n">
        <v>7.62939453125E-006</v>
      </c>
      <c r="AE13" s="395" t="n">
        <v>3.814697265625E-006</v>
      </c>
      <c r="AF13" s="395" t="n">
        <v>1.9073486328125E-006</v>
      </c>
      <c r="AG13" s="395" t="n">
        <v>9.5367431640625E-007</v>
      </c>
    </row>
    <row r="14" customFormat="false" ht="12.75" hidden="false" customHeight="false" outlineLevel="0" collapsed="false">
      <c r="A14" s="393" t="n">
        <v>10</v>
      </c>
      <c r="B14" s="395" t="n">
        <f aca="false">IF(ISNA(Summary!C47),0,Summary!C47)</f>
        <v>0</v>
      </c>
      <c r="C14" s="395" t="n">
        <f aca="false">IF(ISNA(Summary!D47),0,Summary!D47)</f>
        <v>0</v>
      </c>
      <c r="D14" s="395" t="n">
        <f aca="false">IF(ISNA(Summary!E47),0,Summary!E47)</f>
        <v>0</v>
      </c>
      <c r="E14" s="395" t="n">
        <f aca="false">IF(ISNA(Summary!F47),0,Summary!F47)</f>
        <v>0</v>
      </c>
      <c r="F14" s="395" t="n">
        <f aca="false">IF(ISNA(Summary!G47),0,Summary!G47)</f>
        <v>0</v>
      </c>
      <c r="G14" s="395" t="n">
        <f aca="false">IF(ISNA(Summary!H47),0,Summary!H47)</f>
        <v>0</v>
      </c>
      <c r="H14" s="395" t="n">
        <f aca="false">IF(ISNA(Summary!I47),0,Summary!I47)</f>
        <v>0</v>
      </c>
      <c r="I14" s="395" t="n">
        <f aca="false">IF(ISNA(Summary!J47),0,Summary!J47)</f>
        <v>0</v>
      </c>
      <c r="J14" s="395" t="n">
        <f aca="false">IF(ISNA(Summary!K47),0,Summary!K47)</f>
        <v>0</v>
      </c>
      <c r="K14" s="394" t="n">
        <v>1</v>
      </c>
      <c r="M14" s="396" t="n">
        <f aca="false">SUM(B14:K14)/10</f>
        <v>0.1</v>
      </c>
      <c r="N14" s="395" t="n">
        <v>0.1</v>
      </c>
      <c r="O14" s="395" t="n">
        <v>0.25</v>
      </c>
      <c r="P14" s="395" t="n">
        <v>0.125</v>
      </c>
      <c r="Q14" s="395" t="n">
        <v>0.0625</v>
      </c>
      <c r="R14" s="395" t="n">
        <v>0.03125</v>
      </c>
      <c r="S14" s="395" t="n">
        <v>0.015625</v>
      </c>
      <c r="T14" s="395" t="n">
        <v>0.0078125</v>
      </c>
      <c r="U14" s="395" t="n">
        <v>0.00390625</v>
      </c>
      <c r="V14" s="395" t="n">
        <v>0.001953125</v>
      </c>
      <c r="W14" s="395" t="n">
        <v>0.0009765625</v>
      </c>
      <c r="X14" s="395" t="n">
        <v>0.00048828125</v>
      </c>
      <c r="Y14" s="395" t="n">
        <v>0.000244140625</v>
      </c>
      <c r="Z14" s="395" t="n">
        <v>0.0001220703125</v>
      </c>
      <c r="AA14" s="395" t="n">
        <v>6.103515625E-005</v>
      </c>
      <c r="AB14" s="395" t="n">
        <v>3.0517578125E-005</v>
      </c>
      <c r="AC14" s="395" t="n">
        <v>1.52587890625E-005</v>
      </c>
      <c r="AD14" s="395" t="n">
        <v>7.62939453125E-006</v>
      </c>
      <c r="AE14" s="395" t="n">
        <v>3.814697265625E-006</v>
      </c>
      <c r="AF14" s="395" t="n">
        <v>1.9073486328125E-006</v>
      </c>
      <c r="AG14" s="395" t="n">
        <v>9.5367431640625E-007</v>
      </c>
    </row>
    <row r="15" customFormat="false" ht="12.75" hidden="false" customHeight="false" outlineLevel="0" collapsed="false">
      <c r="A15" s="385" t="s">
        <v>184</v>
      </c>
      <c r="B15" s="393" t="n">
        <f aca="false">IF($M$1&gt;=B4,SUM(B5:B14),0)</f>
        <v>2</v>
      </c>
      <c r="C15" s="393" t="n">
        <f aca="false">IF($M$1&gt;=C4,SUM(C5:C14),0)</f>
        <v>2</v>
      </c>
      <c r="D15" s="393" t="n">
        <f aca="false">IF($M$1&gt;=D4,SUM(D5:D14),0)</f>
        <v>0</v>
      </c>
      <c r="E15" s="393" t="n">
        <f aca="false">IF($M$1&gt;=E4,SUM(E5:E14),0)</f>
        <v>0</v>
      </c>
      <c r="F15" s="393" t="n">
        <f aca="false">IF($M$1&gt;=F4,SUM(F5:F14),0)</f>
        <v>0</v>
      </c>
      <c r="G15" s="393" t="n">
        <f aca="false">IF($M$1&gt;=G4,SUM(G5:G14),0)</f>
        <v>0</v>
      </c>
      <c r="H15" s="393" t="n">
        <f aca="false">IF($M$1&gt;=H4,SUM(H5:H14),0)</f>
        <v>0</v>
      </c>
      <c r="I15" s="393" t="n">
        <f aca="false">IF($M$1&gt;=I4,SUM(I5:I14),0)</f>
        <v>0</v>
      </c>
      <c r="J15" s="393" t="n">
        <f aca="false">IF($M$1&gt;=J4,SUM(J5:J14),0)</f>
        <v>0</v>
      </c>
      <c r="K15" s="393" t="n">
        <f aca="false">IF($M$1&gt;=K4,SUM(K5:K14),0)</f>
        <v>0</v>
      </c>
      <c r="L15" s="397"/>
      <c r="M15" s="391" t="s">
        <v>185</v>
      </c>
      <c r="N15" s="397"/>
      <c r="O15" s="398"/>
      <c r="P15" s="398"/>
      <c r="Q15" s="398"/>
      <c r="R15" s="398"/>
      <c r="S15" s="398"/>
      <c r="T15" s="398"/>
      <c r="U15" s="398"/>
      <c r="V15" s="398"/>
      <c r="W15" s="398"/>
      <c r="X15" s="398"/>
      <c r="Y15" s="398"/>
      <c r="Z15" s="398"/>
      <c r="AA15" s="398"/>
      <c r="AB15" s="398"/>
      <c r="AC15" s="398"/>
      <c r="AD15" s="398"/>
      <c r="AE15" s="398"/>
      <c r="AF15" s="398"/>
      <c r="AG15" s="398"/>
    </row>
    <row r="16" customFormat="false" ht="12.75" hidden="false" customHeight="false" outlineLevel="0" collapsed="false">
      <c r="B16" s="399"/>
      <c r="C16" s="399"/>
      <c r="D16" s="399"/>
      <c r="E16" s="399"/>
      <c r="F16" s="399"/>
      <c r="G16" s="399"/>
      <c r="H16" s="399"/>
      <c r="I16" s="399"/>
      <c r="J16" s="399"/>
      <c r="K16" s="399"/>
      <c r="L16" s="398"/>
      <c r="M16" s="395" t="n">
        <f aca="false">M5/MAX(M$5:M$14)</f>
        <v>1</v>
      </c>
      <c r="N16" s="395" t="n">
        <f aca="false">N5/MAX(N$5:N$14)</f>
        <v>1</v>
      </c>
      <c r="O16" s="395" t="n">
        <f aca="false">O5/MAX(O$5:O$14)</f>
        <v>1</v>
      </c>
      <c r="P16" s="395" t="n">
        <f aca="false">P5/MAX(P$5:P$14)</f>
        <v>1</v>
      </c>
      <c r="Q16" s="395" t="n">
        <f aca="false">Q5/MAX(Q$5:Q$14)</f>
        <v>1</v>
      </c>
      <c r="R16" s="395" t="n">
        <f aca="false">R5/MAX(R$5:R$14)</f>
        <v>1</v>
      </c>
      <c r="S16" s="395" t="n">
        <f aca="false">S5/MAX(S$5:S$14)</f>
        <v>1</v>
      </c>
      <c r="T16" s="395" t="n">
        <f aca="false">T5/MAX(T$5:T$14)</f>
        <v>1</v>
      </c>
      <c r="U16" s="395" t="n">
        <f aca="false">U5/MAX(U$5:U$14)</f>
        <v>1</v>
      </c>
      <c r="V16" s="395" t="n">
        <f aca="false">V5/MAX(V$5:V$14)</f>
        <v>1</v>
      </c>
      <c r="W16" s="395" t="n">
        <f aca="false">W5/MAX(W$5:W$14)</f>
        <v>1</v>
      </c>
      <c r="X16" s="395" t="n">
        <f aca="false">X5/MAX(X$5:X$14)</f>
        <v>1</v>
      </c>
      <c r="Y16" s="395" t="n">
        <f aca="false">Y5/MAX(Y$5:Y$14)</f>
        <v>1</v>
      </c>
      <c r="Z16" s="395" t="n">
        <f aca="false">Z5/MAX(Z$5:Z$14)</f>
        <v>1</v>
      </c>
      <c r="AA16" s="395" t="n">
        <f aca="false">AA5/MAX(AA$5:AA$14)</f>
        <v>1</v>
      </c>
      <c r="AB16" s="395" t="n">
        <f aca="false">AB5/MAX(AB$5:AB$14)</f>
        <v>1</v>
      </c>
      <c r="AC16" s="395" t="n">
        <f aca="false">AC5/MAX(AC$5:AC$14)</f>
        <v>1</v>
      </c>
      <c r="AD16" s="395" t="n">
        <f aca="false">AD5/MAX(AD$5:AD$14)</f>
        <v>1</v>
      </c>
      <c r="AE16" s="395" t="n">
        <f aca="false">AE5/MAX(AE$5:AE$14)</f>
        <v>1</v>
      </c>
      <c r="AF16" s="395" t="n">
        <f aca="false">AF5/MAX(AF$5:AF$14)</f>
        <v>1</v>
      </c>
      <c r="AG16" s="395" t="n">
        <f aca="false">AG5/MAX(AG$5:AG$14)</f>
        <v>1</v>
      </c>
    </row>
    <row r="17" customFormat="false" ht="12.75" hidden="false" customHeight="false" outlineLevel="0" collapsed="false">
      <c r="L17" s="398"/>
      <c r="M17" s="395" t="n">
        <f aca="false">M6/MAX(M$5:M$14)</f>
        <v>1</v>
      </c>
      <c r="N17" s="395" t="n">
        <f aca="false">N6/MAX(N$5:N$14)</f>
        <v>1</v>
      </c>
      <c r="O17" s="395" t="n">
        <f aca="false">O6/MAX(O$5:O$14)</f>
        <v>1</v>
      </c>
      <c r="P17" s="395" t="n">
        <f aca="false">P6/MAX(P$5:P$14)</f>
        <v>1</v>
      </c>
      <c r="Q17" s="395" t="n">
        <f aca="false">Q6/MAX(Q$5:Q$14)</f>
        <v>1</v>
      </c>
      <c r="R17" s="395" t="n">
        <f aca="false">R6/MAX(R$5:R$14)</f>
        <v>1</v>
      </c>
      <c r="S17" s="395" t="n">
        <f aca="false">S6/MAX(S$5:S$14)</f>
        <v>1</v>
      </c>
      <c r="T17" s="395" t="n">
        <f aca="false">T6/MAX(T$5:T$14)</f>
        <v>1</v>
      </c>
      <c r="U17" s="395" t="n">
        <f aca="false">U6/MAX(U$5:U$14)</f>
        <v>1</v>
      </c>
      <c r="V17" s="395" t="n">
        <f aca="false">V6/MAX(V$5:V$14)</f>
        <v>1</v>
      </c>
      <c r="W17" s="395" t="n">
        <f aca="false">W6/MAX(W$5:W$14)</f>
        <v>1</v>
      </c>
      <c r="X17" s="395" t="n">
        <f aca="false">X6/MAX(X$5:X$14)</f>
        <v>1</v>
      </c>
      <c r="Y17" s="395" t="n">
        <f aca="false">Y6/MAX(Y$5:Y$14)</f>
        <v>1</v>
      </c>
      <c r="Z17" s="395" t="n">
        <f aca="false">Z6/MAX(Z$5:Z$14)</f>
        <v>1</v>
      </c>
      <c r="AA17" s="395" t="n">
        <f aca="false">AA6/MAX(AA$5:AA$14)</f>
        <v>1</v>
      </c>
      <c r="AB17" s="395" t="n">
        <f aca="false">AB6/MAX(AB$5:AB$14)</f>
        <v>1</v>
      </c>
      <c r="AC17" s="395" t="n">
        <f aca="false">AC6/MAX(AC$5:AC$14)</f>
        <v>1</v>
      </c>
      <c r="AD17" s="395" t="n">
        <f aca="false">AD6/MAX(AD$5:AD$14)</f>
        <v>1</v>
      </c>
      <c r="AE17" s="395" t="n">
        <f aca="false">AE6/MAX(AE$5:AE$14)</f>
        <v>1</v>
      </c>
      <c r="AF17" s="395" t="n">
        <f aca="false">AF6/MAX(AF$5:AF$14)</f>
        <v>1</v>
      </c>
      <c r="AG17" s="395" t="n">
        <f aca="false">AG6/MAX(AG$5:AG$14)</f>
        <v>1</v>
      </c>
    </row>
    <row r="18" customFormat="false" ht="12.75" hidden="false" customHeight="false" outlineLevel="0" collapsed="false">
      <c r="L18" s="398"/>
      <c r="M18" s="395" t="n">
        <f aca="false">M7/MAX(M$5:M$14)</f>
        <v>0.5</v>
      </c>
      <c r="N18" s="395" t="n">
        <f aca="false">N7/MAX(N$5:N$14)</f>
        <v>0.25</v>
      </c>
      <c r="O18" s="395" t="n">
        <f aca="false">O7/MAX(O$5:O$14)</f>
        <v>0.125</v>
      </c>
      <c r="P18" s="395" t="n">
        <f aca="false">P7/MAX(P$5:P$14)</f>
        <v>0.0625</v>
      </c>
      <c r="Q18" s="395" t="n">
        <f aca="false">Q7/MAX(Q$5:Q$14)</f>
        <v>0.03125</v>
      </c>
      <c r="R18" s="395" t="n">
        <f aca="false">R7/MAX(R$5:R$14)</f>
        <v>0.015625</v>
      </c>
      <c r="S18" s="395" t="n">
        <f aca="false">S7/MAX(S$5:S$14)</f>
        <v>0.0078125</v>
      </c>
      <c r="T18" s="395" t="n">
        <f aca="false">T7/MAX(T$5:T$14)</f>
        <v>0.00390625</v>
      </c>
      <c r="U18" s="395" t="n">
        <f aca="false">U7/MAX(U$5:U$14)</f>
        <v>0.001953125</v>
      </c>
      <c r="V18" s="395" t="n">
        <f aca="false">V7/MAX(V$5:V$14)</f>
        <v>0.0009765625</v>
      </c>
      <c r="W18" s="395" t="n">
        <f aca="false">W7/MAX(W$5:W$14)</f>
        <v>0.00048828125</v>
      </c>
      <c r="X18" s="395" t="n">
        <f aca="false">X7/MAX(X$5:X$14)</f>
        <v>0.000244140625</v>
      </c>
      <c r="Y18" s="395" t="n">
        <f aca="false">Y7/MAX(Y$5:Y$14)</f>
        <v>0.0001220703125</v>
      </c>
      <c r="Z18" s="395" t="n">
        <f aca="false">Z7/MAX(Z$5:Z$14)</f>
        <v>6.103515625E-005</v>
      </c>
      <c r="AA18" s="395" t="n">
        <f aca="false">AA7/MAX(AA$5:AA$14)</f>
        <v>3.0517578125E-005</v>
      </c>
      <c r="AB18" s="395" t="n">
        <f aca="false">AB7/MAX(AB$5:AB$14)</f>
        <v>1.52587890625E-005</v>
      </c>
      <c r="AC18" s="395" t="n">
        <f aca="false">AC7/MAX(AC$5:AC$14)</f>
        <v>7.62939453125E-006</v>
      </c>
      <c r="AD18" s="395" t="n">
        <f aca="false">AD7/MAX(AD$5:AD$14)</f>
        <v>3.814697265625E-006</v>
      </c>
      <c r="AE18" s="395" t="n">
        <f aca="false">AE7/MAX(AE$5:AE$14)</f>
        <v>1.9073486328125E-006</v>
      </c>
      <c r="AF18" s="395" t="n">
        <f aca="false">AF7/MAX(AF$5:AF$14)</f>
        <v>9.5367431640625E-007</v>
      </c>
      <c r="AG18" s="395" t="n">
        <f aca="false">AG7/MAX(AG$5:AG$14)</f>
        <v>4.76837158203125E-007</v>
      </c>
    </row>
    <row r="19" customFormat="false" ht="12.75" hidden="false" customHeight="false" outlineLevel="0" collapsed="false">
      <c r="L19" s="398"/>
      <c r="M19" s="395" t="n">
        <f aca="false">M8/MAX(M$5:M$14)</f>
        <v>0.5</v>
      </c>
      <c r="N19" s="395" t="n">
        <f aca="false">N8/MAX(N$5:N$14)</f>
        <v>0.25</v>
      </c>
      <c r="O19" s="395" t="n">
        <f aca="false">O8/MAX(O$5:O$14)</f>
        <v>0.125</v>
      </c>
      <c r="P19" s="395" t="n">
        <f aca="false">P8/MAX(P$5:P$14)</f>
        <v>0.0625</v>
      </c>
      <c r="Q19" s="395" t="n">
        <f aca="false">Q8/MAX(Q$5:Q$14)</f>
        <v>0.03125</v>
      </c>
      <c r="R19" s="395" t="n">
        <f aca="false">R8/MAX(R$5:R$14)</f>
        <v>0.015625</v>
      </c>
      <c r="S19" s="395" t="n">
        <f aca="false">S8/MAX(S$5:S$14)</f>
        <v>0.0078125</v>
      </c>
      <c r="T19" s="395" t="n">
        <f aca="false">T8/MAX(T$5:T$14)</f>
        <v>0.00390625</v>
      </c>
      <c r="U19" s="395" t="n">
        <f aca="false">U8/MAX(U$5:U$14)</f>
        <v>0.001953125</v>
      </c>
      <c r="V19" s="395" t="n">
        <f aca="false">V8/MAX(V$5:V$14)</f>
        <v>0.0009765625</v>
      </c>
      <c r="W19" s="395" t="n">
        <f aca="false">W8/MAX(W$5:W$14)</f>
        <v>0.00048828125</v>
      </c>
      <c r="X19" s="395" t="n">
        <f aca="false">X8/MAX(X$5:X$14)</f>
        <v>0.000244140625</v>
      </c>
      <c r="Y19" s="395" t="n">
        <f aca="false">Y8/MAX(Y$5:Y$14)</f>
        <v>0.0001220703125</v>
      </c>
      <c r="Z19" s="395" t="n">
        <f aca="false">Z8/MAX(Z$5:Z$14)</f>
        <v>6.103515625E-005</v>
      </c>
      <c r="AA19" s="395" t="n">
        <f aca="false">AA8/MAX(AA$5:AA$14)</f>
        <v>3.0517578125E-005</v>
      </c>
      <c r="AB19" s="395" t="n">
        <f aca="false">AB8/MAX(AB$5:AB$14)</f>
        <v>1.52587890625E-005</v>
      </c>
      <c r="AC19" s="395" t="n">
        <f aca="false">AC8/MAX(AC$5:AC$14)</f>
        <v>7.62939453125E-006</v>
      </c>
      <c r="AD19" s="395" t="n">
        <f aca="false">AD8/MAX(AD$5:AD$14)</f>
        <v>3.814697265625E-006</v>
      </c>
      <c r="AE19" s="395" t="n">
        <f aca="false">AE8/MAX(AE$5:AE$14)</f>
        <v>1.9073486328125E-006</v>
      </c>
      <c r="AF19" s="395" t="n">
        <f aca="false">AF8/MAX(AF$5:AF$14)</f>
        <v>9.5367431640625E-007</v>
      </c>
      <c r="AG19" s="395" t="n">
        <f aca="false">AG8/MAX(AG$5:AG$14)</f>
        <v>4.76837158203125E-007</v>
      </c>
    </row>
    <row r="20" customFormat="false" ht="12.75" hidden="false" customHeight="false" outlineLevel="0" collapsed="false">
      <c r="B20" s="399"/>
      <c r="C20" s="399"/>
      <c r="D20" s="399"/>
      <c r="E20" s="399"/>
      <c r="F20" s="399"/>
      <c r="G20" s="399"/>
      <c r="H20" s="399"/>
      <c r="I20" s="399"/>
      <c r="J20" s="399"/>
      <c r="K20" s="399"/>
      <c r="M20" s="395" t="n">
        <f aca="false">M9/MAX(M$5:M$14)</f>
        <v>0.5</v>
      </c>
      <c r="N20" s="395" t="n">
        <f aca="false">N9/MAX(N$5:N$14)</f>
        <v>0.25</v>
      </c>
      <c r="O20" s="395" t="n">
        <f aca="false">O9/MAX(O$5:O$14)</f>
        <v>0.125</v>
      </c>
      <c r="P20" s="395" t="n">
        <f aca="false">P9/MAX(P$5:P$14)</f>
        <v>0.0625</v>
      </c>
      <c r="Q20" s="395" t="n">
        <f aca="false">Q9/MAX(Q$5:Q$14)</f>
        <v>0.03125</v>
      </c>
      <c r="R20" s="395" t="n">
        <f aca="false">R9/MAX(R$5:R$14)</f>
        <v>0.015625</v>
      </c>
      <c r="S20" s="395" t="n">
        <f aca="false">S9/MAX(S$5:S$14)</f>
        <v>0.0078125</v>
      </c>
      <c r="T20" s="395" t="n">
        <f aca="false">T9/MAX(T$5:T$14)</f>
        <v>0.00390625</v>
      </c>
      <c r="U20" s="395" t="n">
        <f aca="false">U9/MAX(U$5:U$14)</f>
        <v>0.001953125</v>
      </c>
      <c r="V20" s="395" t="n">
        <f aca="false">V9/MAX(V$5:V$14)</f>
        <v>0.0009765625</v>
      </c>
      <c r="W20" s="395" t="n">
        <f aca="false">W9/MAX(W$5:W$14)</f>
        <v>0.00048828125</v>
      </c>
      <c r="X20" s="395" t="n">
        <f aca="false">X9/MAX(X$5:X$14)</f>
        <v>0.000244140625</v>
      </c>
      <c r="Y20" s="395" t="n">
        <f aca="false">Y9/MAX(Y$5:Y$14)</f>
        <v>0.0001220703125</v>
      </c>
      <c r="Z20" s="395" t="n">
        <f aca="false">Z9/MAX(Z$5:Z$14)</f>
        <v>6.103515625E-005</v>
      </c>
      <c r="AA20" s="395" t="n">
        <f aca="false">AA9/MAX(AA$5:AA$14)</f>
        <v>3.0517578125E-005</v>
      </c>
      <c r="AB20" s="395" t="n">
        <f aca="false">AB9/MAX(AB$5:AB$14)</f>
        <v>1.52587890625E-005</v>
      </c>
      <c r="AC20" s="395" t="n">
        <f aca="false">AC9/MAX(AC$5:AC$14)</f>
        <v>7.62939453125E-006</v>
      </c>
      <c r="AD20" s="395" t="n">
        <f aca="false">AD9/MAX(AD$5:AD$14)</f>
        <v>3.814697265625E-006</v>
      </c>
      <c r="AE20" s="395" t="n">
        <f aca="false">AE9/MAX(AE$5:AE$14)</f>
        <v>1.9073486328125E-006</v>
      </c>
      <c r="AF20" s="395" t="n">
        <f aca="false">AF9/MAX(AF$5:AF$14)</f>
        <v>9.5367431640625E-007</v>
      </c>
      <c r="AG20" s="395" t="n">
        <f aca="false">AG9/MAX(AG$5:AG$14)</f>
        <v>4.76837158203125E-007</v>
      </c>
    </row>
    <row r="21" customFormat="false" ht="12.75" hidden="false" customHeight="false" outlineLevel="0" collapsed="false">
      <c r="M21" s="395" t="n">
        <f aca="false">M10/MAX(M$5:M$14)</f>
        <v>0.5</v>
      </c>
      <c r="N21" s="395" t="n">
        <f aca="false">N10/MAX(N$5:N$14)</f>
        <v>0.25</v>
      </c>
      <c r="O21" s="395" t="n">
        <f aca="false">O10/MAX(O$5:O$14)</f>
        <v>0.125</v>
      </c>
      <c r="P21" s="395" t="n">
        <f aca="false">P10/MAX(P$5:P$14)</f>
        <v>0.0625</v>
      </c>
      <c r="Q21" s="395" t="n">
        <f aca="false">Q10/MAX(Q$5:Q$14)</f>
        <v>0.03125</v>
      </c>
      <c r="R21" s="395" t="n">
        <f aca="false">R10/MAX(R$5:R$14)</f>
        <v>0.015625</v>
      </c>
      <c r="S21" s="395" t="n">
        <f aca="false">S10/MAX(S$5:S$14)</f>
        <v>0.0078125</v>
      </c>
      <c r="T21" s="395" t="n">
        <f aca="false">T10/MAX(T$5:T$14)</f>
        <v>0.00390625</v>
      </c>
      <c r="U21" s="395" t="n">
        <f aca="false">U10/MAX(U$5:U$14)</f>
        <v>0.001953125</v>
      </c>
      <c r="V21" s="395" t="n">
        <f aca="false">V10/MAX(V$5:V$14)</f>
        <v>0.0009765625</v>
      </c>
      <c r="W21" s="395" t="n">
        <f aca="false">W10/MAX(W$5:W$14)</f>
        <v>0.00048828125</v>
      </c>
      <c r="X21" s="395" t="n">
        <f aca="false">X10/MAX(X$5:X$14)</f>
        <v>0.000244140625</v>
      </c>
      <c r="Y21" s="395" t="n">
        <f aca="false">Y10/MAX(Y$5:Y$14)</f>
        <v>0.0001220703125</v>
      </c>
      <c r="Z21" s="395" t="n">
        <f aca="false">Z10/MAX(Z$5:Z$14)</f>
        <v>6.103515625E-005</v>
      </c>
      <c r="AA21" s="395" t="n">
        <f aca="false">AA10/MAX(AA$5:AA$14)</f>
        <v>3.0517578125E-005</v>
      </c>
      <c r="AB21" s="395" t="n">
        <f aca="false">AB10/MAX(AB$5:AB$14)</f>
        <v>1.52587890625E-005</v>
      </c>
      <c r="AC21" s="395" t="n">
        <f aca="false">AC10/MAX(AC$5:AC$14)</f>
        <v>7.62939453125E-006</v>
      </c>
      <c r="AD21" s="395" t="n">
        <f aca="false">AD10/MAX(AD$5:AD$14)</f>
        <v>3.814697265625E-006</v>
      </c>
      <c r="AE21" s="395" t="n">
        <f aca="false">AE10/MAX(AE$5:AE$14)</f>
        <v>1.9073486328125E-006</v>
      </c>
      <c r="AF21" s="395" t="n">
        <f aca="false">AF10/MAX(AF$5:AF$14)</f>
        <v>9.5367431640625E-007</v>
      </c>
      <c r="AG21" s="395" t="n">
        <f aca="false">AG10/MAX(AG$5:AG$14)</f>
        <v>4.76837158203125E-007</v>
      </c>
    </row>
    <row r="22" customFormat="false" ht="12.75" hidden="false" customHeight="false" outlineLevel="0" collapsed="false">
      <c r="B22" s="399"/>
      <c r="D22" s="399"/>
      <c r="E22" s="399"/>
      <c r="F22" s="399"/>
      <c r="G22" s="399"/>
      <c r="J22" s="399"/>
      <c r="K22" s="399"/>
      <c r="M22" s="395" t="n">
        <f aca="false">M11/MAX(M$5:M$14)</f>
        <v>0.5</v>
      </c>
      <c r="N22" s="395" t="n">
        <f aca="false">N11/MAX(N$5:N$14)</f>
        <v>0.25</v>
      </c>
      <c r="O22" s="395" t="n">
        <f aca="false">O11/MAX(O$5:O$14)</f>
        <v>0.125</v>
      </c>
      <c r="P22" s="395" t="n">
        <f aca="false">P11/MAX(P$5:P$14)</f>
        <v>0.0625</v>
      </c>
      <c r="Q22" s="395" t="n">
        <f aca="false">Q11/MAX(Q$5:Q$14)</f>
        <v>0.03125</v>
      </c>
      <c r="R22" s="395" t="n">
        <f aca="false">R11/MAX(R$5:R$14)</f>
        <v>0.015625</v>
      </c>
      <c r="S22" s="395" t="n">
        <f aca="false">S11/MAX(S$5:S$14)</f>
        <v>0.0078125</v>
      </c>
      <c r="T22" s="395" t="n">
        <f aca="false">T11/MAX(T$5:T$14)</f>
        <v>0.00390625</v>
      </c>
      <c r="U22" s="395" t="n">
        <f aca="false">U11/MAX(U$5:U$14)</f>
        <v>0.001953125</v>
      </c>
      <c r="V22" s="395" t="n">
        <f aca="false">V11/MAX(V$5:V$14)</f>
        <v>0.0009765625</v>
      </c>
      <c r="W22" s="395" t="n">
        <f aca="false">W11/MAX(W$5:W$14)</f>
        <v>0.00048828125</v>
      </c>
      <c r="X22" s="395" t="n">
        <f aca="false">X11/MAX(X$5:X$14)</f>
        <v>0.000244140625</v>
      </c>
      <c r="Y22" s="395" t="n">
        <f aca="false">Y11/MAX(Y$5:Y$14)</f>
        <v>0.0001220703125</v>
      </c>
      <c r="Z22" s="395" t="n">
        <f aca="false">Z11/MAX(Z$5:Z$14)</f>
        <v>6.103515625E-005</v>
      </c>
      <c r="AA22" s="395" t="n">
        <f aca="false">AA11/MAX(AA$5:AA$14)</f>
        <v>3.0517578125E-005</v>
      </c>
      <c r="AB22" s="395" t="n">
        <f aca="false">AB11/MAX(AB$5:AB$14)</f>
        <v>1.52587890625E-005</v>
      </c>
      <c r="AC22" s="395" t="n">
        <f aca="false">AC11/MAX(AC$5:AC$14)</f>
        <v>7.62939453125E-006</v>
      </c>
      <c r="AD22" s="395" t="n">
        <f aca="false">AD11/MAX(AD$5:AD$14)</f>
        <v>3.814697265625E-006</v>
      </c>
      <c r="AE22" s="395" t="n">
        <f aca="false">AE11/MAX(AE$5:AE$14)</f>
        <v>1.9073486328125E-006</v>
      </c>
      <c r="AF22" s="395" t="n">
        <f aca="false">AF11/MAX(AF$5:AF$14)</f>
        <v>9.5367431640625E-007</v>
      </c>
      <c r="AG22" s="395" t="n">
        <f aca="false">AG11/MAX(AG$5:AG$14)</f>
        <v>4.76837158203125E-007</v>
      </c>
    </row>
    <row r="23" customFormat="false" ht="12.75" hidden="false" customHeight="false" outlineLevel="0" collapsed="false">
      <c r="B23" s="400"/>
      <c r="C23" s="397"/>
      <c r="D23" s="399"/>
      <c r="E23" s="399"/>
      <c r="F23" s="399"/>
      <c r="G23" s="399"/>
      <c r="J23" s="397"/>
      <c r="K23" s="397"/>
      <c r="M23" s="395" t="n">
        <f aca="false">M12/MAX(M$5:M$14)</f>
        <v>0.5</v>
      </c>
      <c r="N23" s="395" t="n">
        <f aca="false">N12/MAX(N$5:N$14)</f>
        <v>0.25</v>
      </c>
      <c r="O23" s="395" t="n">
        <f aca="false">O12/MAX(O$5:O$14)</f>
        <v>0.125</v>
      </c>
      <c r="P23" s="395" t="n">
        <f aca="false">P12/MAX(P$5:P$14)</f>
        <v>0.0625</v>
      </c>
      <c r="Q23" s="395" t="n">
        <f aca="false">Q12/MAX(Q$5:Q$14)</f>
        <v>0.03125</v>
      </c>
      <c r="R23" s="395" t="n">
        <f aca="false">R12/MAX(R$5:R$14)</f>
        <v>0.015625</v>
      </c>
      <c r="S23" s="395" t="n">
        <f aca="false">S12/MAX(S$5:S$14)</f>
        <v>0.0078125</v>
      </c>
      <c r="T23" s="395" t="n">
        <f aca="false">T12/MAX(T$5:T$14)</f>
        <v>0.00390625</v>
      </c>
      <c r="U23" s="395" t="n">
        <f aca="false">U12/MAX(U$5:U$14)</f>
        <v>0.001953125</v>
      </c>
      <c r="V23" s="395" t="n">
        <f aca="false">V12/MAX(V$5:V$14)</f>
        <v>0.0009765625</v>
      </c>
      <c r="W23" s="395" t="n">
        <f aca="false">W12/MAX(W$5:W$14)</f>
        <v>0.00048828125</v>
      </c>
      <c r="X23" s="395" t="n">
        <f aca="false">X12/MAX(X$5:X$14)</f>
        <v>0.000244140625</v>
      </c>
      <c r="Y23" s="395" t="n">
        <f aca="false">Y12/MAX(Y$5:Y$14)</f>
        <v>0.0001220703125</v>
      </c>
      <c r="Z23" s="395" t="n">
        <f aca="false">Z12/MAX(Z$5:Z$14)</f>
        <v>6.103515625E-005</v>
      </c>
      <c r="AA23" s="395" t="n">
        <f aca="false">AA12/MAX(AA$5:AA$14)</f>
        <v>3.0517578125E-005</v>
      </c>
      <c r="AB23" s="395" t="n">
        <f aca="false">AB12/MAX(AB$5:AB$14)</f>
        <v>1.52587890625E-005</v>
      </c>
      <c r="AC23" s="395" t="n">
        <f aca="false">AC12/MAX(AC$5:AC$14)</f>
        <v>7.62939453125E-006</v>
      </c>
      <c r="AD23" s="395" t="n">
        <f aca="false">AD12/MAX(AD$5:AD$14)</f>
        <v>3.814697265625E-006</v>
      </c>
      <c r="AE23" s="395" t="n">
        <f aca="false">AE12/MAX(AE$5:AE$14)</f>
        <v>1.9073486328125E-006</v>
      </c>
      <c r="AF23" s="395" t="n">
        <f aca="false">AF12/MAX(AF$5:AF$14)</f>
        <v>9.5367431640625E-007</v>
      </c>
      <c r="AG23" s="395" t="n">
        <f aca="false">AG12/MAX(AG$5:AG$14)</f>
        <v>4.76837158203125E-007</v>
      </c>
    </row>
    <row r="24" customFormat="false" ht="12.75" hidden="false" customHeight="false" outlineLevel="0" collapsed="false">
      <c r="B24" s="399"/>
      <c r="C24" s="399"/>
      <c r="D24" s="399"/>
      <c r="E24" s="399"/>
      <c r="F24" s="399"/>
      <c r="G24" s="399"/>
      <c r="H24" s="400"/>
      <c r="I24" s="397"/>
      <c r="J24" s="397"/>
      <c r="K24" s="397"/>
      <c r="M24" s="395" t="n">
        <f aca="false">M13/MAX(M$5:M$14)</f>
        <v>0.5</v>
      </c>
      <c r="N24" s="395" t="n">
        <f aca="false">N13/MAX(N$5:N$14)</f>
        <v>0.25</v>
      </c>
      <c r="O24" s="395" t="n">
        <f aca="false">O13/MAX(O$5:O$14)</f>
        <v>0.125</v>
      </c>
      <c r="P24" s="395" t="n">
        <f aca="false">P13/MAX(P$5:P$14)</f>
        <v>0.0625</v>
      </c>
      <c r="Q24" s="395" t="n">
        <f aca="false">Q13/MAX(Q$5:Q$14)</f>
        <v>0.03125</v>
      </c>
      <c r="R24" s="395" t="n">
        <f aca="false">R13/MAX(R$5:R$14)</f>
        <v>0.015625</v>
      </c>
      <c r="S24" s="395" t="n">
        <f aca="false">S13/MAX(S$5:S$14)</f>
        <v>0.0078125</v>
      </c>
      <c r="T24" s="395" t="n">
        <f aca="false">T13/MAX(T$5:T$14)</f>
        <v>0.00390625</v>
      </c>
      <c r="U24" s="395" t="n">
        <f aca="false">U13/MAX(U$5:U$14)</f>
        <v>0.001953125</v>
      </c>
      <c r="V24" s="395" t="n">
        <f aca="false">V13/MAX(V$5:V$14)</f>
        <v>0.0009765625</v>
      </c>
      <c r="W24" s="395" t="n">
        <f aca="false">W13/MAX(W$5:W$14)</f>
        <v>0.00048828125</v>
      </c>
      <c r="X24" s="395" t="n">
        <f aca="false">X13/MAX(X$5:X$14)</f>
        <v>0.000244140625</v>
      </c>
      <c r="Y24" s="395" t="n">
        <f aca="false">Y13/MAX(Y$5:Y$14)</f>
        <v>0.0001220703125</v>
      </c>
      <c r="Z24" s="395" t="n">
        <f aca="false">Z13/MAX(Z$5:Z$14)</f>
        <v>6.103515625E-005</v>
      </c>
      <c r="AA24" s="395" t="n">
        <f aca="false">AA13/MAX(AA$5:AA$14)</f>
        <v>3.0517578125E-005</v>
      </c>
      <c r="AB24" s="395" t="n">
        <f aca="false">AB13/MAX(AB$5:AB$14)</f>
        <v>1.52587890625E-005</v>
      </c>
      <c r="AC24" s="395" t="n">
        <f aca="false">AC13/MAX(AC$5:AC$14)</f>
        <v>7.62939453125E-006</v>
      </c>
      <c r="AD24" s="395" t="n">
        <f aca="false">AD13/MAX(AD$5:AD$14)</f>
        <v>3.814697265625E-006</v>
      </c>
      <c r="AE24" s="395" t="n">
        <f aca="false">AE13/MAX(AE$5:AE$14)</f>
        <v>1.9073486328125E-006</v>
      </c>
      <c r="AF24" s="395" t="n">
        <f aca="false">AF13/MAX(AF$5:AF$14)</f>
        <v>9.5367431640625E-007</v>
      </c>
      <c r="AG24" s="395" t="n">
        <f aca="false">AG13/MAX(AG$5:AG$14)</f>
        <v>4.76837158203125E-007</v>
      </c>
    </row>
    <row r="25" customFormat="false" ht="12.75" hidden="false" customHeight="false" outlineLevel="0" collapsed="false">
      <c r="B25" s="399"/>
      <c r="C25" s="399"/>
      <c r="D25" s="399"/>
      <c r="E25" s="399"/>
      <c r="F25" s="399"/>
      <c r="G25" s="399"/>
      <c r="H25" s="400"/>
      <c r="I25" s="397"/>
      <c r="J25" s="397"/>
      <c r="K25" s="397"/>
      <c r="M25" s="395" t="n">
        <f aca="false">M14/MAX(M$5:M$14)</f>
        <v>0.5</v>
      </c>
      <c r="N25" s="395" t="n">
        <f aca="false">N14/MAX(N$5:N$14)</f>
        <v>0.25</v>
      </c>
      <c r="O25" s="395" t="n">
        <f aca="false">O14/MAX(O$5:O$14)</f>
        <v>0.125</v>
      </c>
      <c r="P25" s="395" t="n">
        <f aca="false">P14/MAX(P$5:P$14)</f>
        <v>0.0625</v>
      </c>
      <c r="Q25" s="395" t="n">
        <f aca="false">Q14/MAX(Q$5:Q$14)</f>
        <v>0.03125</v>
      </c>
      <c r="R25" s="395" t="n">
        <f aca="false">R14/MAX(R$5:R$14)</f>
        <v>0.015625</v>
      </c>
      <c r="S25" s="395" t="n">
        <f aca="false">S14/MAX(S$5:S$14)</f>
        <v>0.0078125</v>
      </c>
      <c r="T25" s="395" t="n">
        <f aca="false">T14/MAX(T$5:T$14)</f>
        <v>0.00390625</v>
      </c>
      <c r="U25" s="395" t="n">
        <f aca="false">U14/MAX(U$5:U$14)</f>
        <v>0.001953125</v>
      </c>
      <c r="V25" s="395" t="n">
        <f aca="false">V14/MAX(V$5:V$14)</f>
        <v>0.0009765625</v>
      </c>
      <c r="W25" s="395" t="n">
        <f aca="false">W14/MAX(W$5:W$14)</f>
        <v>0.00048828125</v>
      </c>
      <c r="X25" s="395" t="n">
        <f aca="false">X14/MAX(X$5:X$14)</f>
        <v>0.000244140625</v>
      </c>
      <c r="Y25" s="395" t="n">
        <f aca="false">Y14/MAX(Y$5:Y$14)</f>
        <v>0.0001220703125</v>
      </c>
      <c r="Z25" s="395" t="n">
        <f aca="false">Z14/MAX(Z$5:Z$14)</f>
        <v>6.103515625E-005</v>
      </c>
      <c r="AA25" s="395" t="n">
        <f aca="false">AA14/MAX(AA$5:AA$14)</f>
        <v>3.0517578125E-005</v>
      </c>
      <c r="AB25" s="395" t="n">
        <f aca="false">AB14/MAX(AB$5:AB$14)</f>
        <v>1.52587890625E-005</v>
      </c>
      <c r="AC25" s="395" t="n">
        <f aca="false">AC14/MAX(AC$5:AC$14)</f>
        <v>7.62939453125E-006</v>
      </c>
      <c r="AD25" s="395" t="n">
        <f aca="false">AD14/MAX(AD$5:AD$14)</f>
        <v>3.814697265625E-006</v>
      </c>
      <c r="AE25" s="395" t="n">
        <f aca="false">AE14/MAX(AE$5:AE$14)</f>
        <v>1.9073486328125E-006</v>
      </c>
      <c r="AF25" s="395" t="n">
        <f aca="false">AF14/MAX(AF$5:AF$14)</f>
        <v>9.5367431640625E-007</v>
      </c>
      <c r="AG25" s="395" t="n">
        <f aca="false">AG14/MAX(AG$5:AG$14)</f>
        <v>4.76837158203125E-007</v>
      </c>
    </row>
    <row r="26" customFormat="false" ht="12.75" hidden="false" customHeight="false" outlineLevel="0" collapsed="false">
      <c r="M26" s="401" t="n">
        <f aca="false">SUM(M16:M25)</f>
        <v>6</v>
      </c>
      <c r="N26" s="401" t="n">
        <f aca="false">SUM(N16:N25)</f>
        <v>4</v>
      </c>
      <c r="O26" s="401" t="n">
        <f aca="false">SUM(O16:O25)</f>
        <v>3</v>
      </c>
      <c r="P26" s="401" t="n">
        <f aca="false">SUM(P16:P25)</f>
        <v>2.5</v>
      </c>
      <c r="Q26" s="401" t="n">
        <f aca="false">SUM(Q16:Q25)</f>
        <v>2.25</v>
      </c>
      <c r="R26" s="401" t="n">
        <f aca="false">SUM(R16:R25)</f>
        <v>2.125</v>
      </c>
      <c r="S26" s="401" t="n">
        <f aca="false">SUM(S16:S25)</f>
        <v>2.0625</v>
      </c>
      <c r="T26" s="401" t="n">
        <f aca="false">SUM(T16:T25)</f>
        <v>2.03125</v>
      </c>
      <c r="U26" s="401" t="n">
        <f aca="false">SUM(U16:U25)</f>
        <v>2.015625</v>
      </c>
      <c r="V26" s="401" t="n">
        <f aca="false">SUM(V16:V25)</f>
        <v>2.0078125</v>
      </c>
      <c r="W26" s="401" t="n">
        <f aca="false">SUM(W16:W25)</f>
        <v>2.00390625</v>
      </c>
      <c r="X26" s="401" t="n">
        <f aca="false">SUM(X16:X25)</f>
        <v>2.001953125</v>
      </c>
      <c r="Y26" s="401" t="n">
        <f aca="false">SUM(Y16:Y25)</f>
        <v>2.0009765625</v>
      </c>
      <c r="Z26" s="401" t="n">
        <f aca="false">SUM(Z16:Z25)</f>
        <v>2.00048828125</v>
      </c>
      <c r="AA26" s="401" t="n">
        <f aca="false">SUM(AA16:AA25)</f>
        <v>2.000244140625</v>
      </c>
      <c r="AB26" s="401" t="n">
        <f aca="false">SUM(AB16:AB25)</f>
        <v>2.0001220703125</v>
      </c>
      <c r="AC26" s="401" t="n">
        <f aca="false">SUM(AC16:AC25)</f>
        <v>2.00006103515625</v>
      </c>
      <c r="AD26" s="401" t="n">
        <f aca="false">SUM(AD16:AD25)</f>
        <v>2.00003051757812</v>
      </c>
      <c r="AE26" s="401" t="n">
        <f aca="false">SUM(AE16:AE25)</f>
        <v>2.00001525878906</v>
      </c>
      <c r="AF26" s="401" t="n">
        <f aca="false">SUM(AF16:AF25)</f>
        <v>2.00000762939453</v>
      </c>
      <c r="AG26" s="401" t="n">
        <f aca="false">SUM(AG16:AG25)</f>
        <v>2.00000381469727</v>
      </c>
    </row>
    <row r="27" customFormat="false" ht="13.5" hidden="false" customHeight="false" outlineLevel="0" collapsed="false">
      <c r="M27" s="391" t="s">
        <v>186</v>
      </c>
    </row>
    <row r="28" customFormat="false" ht="12.75" hidden="false" customHeight="false" outlineLevel="0" collapsed="false">
      <c r="B28" s="394" t="n">
        <f aca="false" t="array" ref="B28:K37">IF(B5:K14*B15:K15&gt;0,B5:K14/B15:K15,)</f>
        <v>0.5</v>
      </c>
      <c r="C28" s="395" t="n">
        <v>0.5</v>
      </c>
      <c r="D28" s="395" t="n">
        <v>0</v>
      </c>
      <c r="E28" s="395" t="n">
        <v>0</v>
      </c>
      <c r="F28" s="395" t="n">
        <v>0</v>
      </c>
      <c r="G28" s="395" t="n">
        <v>0</v>
      </c>
      <c r="H28" s="395" t="n">
        <v>0</v>
      </c>
      <c r="I28" s="395" t="n">
        <v>0</v>
      </c>
      <c r="J28" s="395" t="n">
        <v>0</v>
      </c>
      <c r="K28" s="395" t="n">
        <v>0</v>
      </c>
      <c r="M28" s="402" t="n">
        <f aca="false">M16/M$26</f>
        <v>0.166666666666667</v>
      </c>
      <c r="N28" s="402" t="n">
        <f aca="false">N16/N$26</f>
        <v>0.25</v>
      </c>
      <c r="O28" s="402" t="n">
        <f aca="false">O16/O$26</f>
        <v>0.333333333333333</v>
      </c>
      <c r="P28" s="402" t="n">
        <f aca="false">P16/P$26</f>
        <v>0.4</v>
      </c>
      <c r="Q28" s="402" t="n">
        <f aca="false">Q16/Q$26</f>
        <v>0.444444444444444</v>
      </c>
      <c r="R28" s="402" t="n">
        <f aca="false">R16/R$26</f>
        <v>0.470588235294118</v>
      </c>
      <c r="S28" s="402" t="n">
        <f aca="false">S16/S$26</f>
        <v>0.484848484848485</v>
      </c>
      <c r="T28" s="402" t="n">
        <f aca="false">T16/T$26</f>
        <v>0.492307692307692</v>
      </c>
      <c r="U28" s="402" t="n">
        <f aca="false">U16/U$26</f>
        <v>0.496124031007752</v>
      </c>
      <c r="V28" s="402" t="n">
        <f aca="false">V16/V$26</f>
        <v>0.498054474708171</v>
      </c>
      <c r="W28" s="402" t="n">
        <f aca="false">W16/W$26</f>
        <v>0.499025341130604</v>
      </c>
      <c r="X28" s="402" t="n">
        <f aca="false">X16/X$26</f>
        <v>0.499512195121951</v>
      </c>
      <c r="Y28" s="403" t="n">
        <f aca="false">Y16/Y$26</f>
        <v>0.49975597852611</v>
      </c>
      <c r="Z28" s="403" t="n">
        <f aca="false">Z16/Z$26</f>
        <v>0.499877959482548</v>
      </c>
      <c r="AA28" s="403" t="n">
        <f aca="false">AA16/AA$26</f>
        <v>0.499938972293421</v>
      </c>
      <c r="AB28" s="403" t="n">
        <f aca="false">AB16/AB$26</f>
        <v>0.499969484284406</v>
      </c>
      <c r="AC28" s="403" t="n">
        <f aca="false">AC16/AC$26</f>
        <v>0.499984741676585</v>
      </c>
      <c r="AD28" s="403" t="n">
        <f aca="false">AD16/AD$26</f>
        <v>0.499992370721882</v>
      </c>
      <c r="AE28" s="403" t="n">
        <f aca="false">AE16/AE$26</f>
        <v>0.499996185331838</v>
      </c>
      <c r="AF28" s="403" t="n">
        <f aca="false">AF16/AF$26</f>
        <v>0.499998092658643</v>
      </c>
      <c r="AG28" s="404" t="n">
        <f aca="false">AG16/AG$26</f>
        <v>0.499999046327503</v>
      </c>
    </row>
    <row r="29" customFormat="false" ht="12.75" hidden="false" customHeight="false" outlineLevel="0" collapsed="false">
      <c r="B29" s="395" t="n">
        <v>0.5</v>
      </c>
      <c r="C29" s="394" t="n">
        <v>0.5</v>
      </c>
      <c r="D29" s="395" t="n">
        <v>0</v>
      </c>
      <c r="E29" s="395" t="n">
        <v>0</v>
      </c>
      <c r="F29" s="395" t="n">
        <v>0</v>
      </c>
      <c r="G29" s="395" t="n">
        <v>0</v>
      </c>
      <c r="H29" s="395" t="n">
        <v>0</v>
      </c>
      <c r="I29" s="395" t="n">
        <v>0</v>
      </c>
      <c r="J29" s="395" t="n">
        <v>0</v>
      </c>
      <c r="K29" s="395" t="n">
        <v>0</v>
      </c>
      <c r="M29" s="402" t="n">
        <f aca="false">M17/M$26</f>
        <v>0.166666666666667</v>
      </c>
      <c r="N29" s="402" t="n">
        <f aca="false">N17/N$26</f>
        <v>0.25</v>
      </c>
      <c r="O29" s="402" t="n">
        <f aca="false">O17/O$26</f>
        <v>0.333333333333333</v>
      </c>
      <c r="P29" s="402" t="n">
        <f aca="false">P17/P$26</f>
        <v>0.4</v>
      </c>
      <c r="Q29" s="402" t="n">
        <f aca="false">Q17/Q$26</f>
        <v>0.444444444444444</v>
      </c>
      <c r="R29" s="402" t="n">
        <f aca="false">R17/R$26</f>
        <v>0.470588235294118</v>
      </c>
      <c r="S29" s="402" t="n">
        <f aca="false">S17/S$26</f>
        <v>0.484848484848485</v>
      </c>
      <c r="T29" s="402" t="n">
        <f aca="false">T17/T$26</f>
        <v>0.492307692307692</v>
      </c>
      <c r="U29" s="402" t="n">
        <f aca="false">U17/U$26</f>
        <v>0.496124031007752</v>
      </c>
      <c r="V29" s="402" t="n">
        <f aca="false">V17/V$26</f>
        <v>0.498054474708171</v>
      </c>
      <c r="W29" s="402" t="n">
        <f aca="false">W17/W$26</f>
        <v>0.499025341130604</v>
      </c>
      <c r="X29" s="402" t="n">
        <f aca="false">X17/X$26</f>
        <v>0.499512195121951</v>
      </c>
      <c r="Y29" s="403" t="n">
        <f aca="false">Y17/Y$26</f>
        <v>0.49975597852611</v>
      </c>
      <c r="Z29" s="403" t="n">
        <f aca="false">Z17/Z$26</f>
        <v>0.499877959482548</v>
      </c>
      <c r="AA29" s="403" t="n">
        <f aca="false">AA17/AA$26</f>
        <v>0.499938972293421</v>
      </c>
      <c r="AB29" s="403" t="n">
        <f aca="false">AB17/AB$26</f>
        <v>0.499969484284406</v>
      </c>
      <c r="AC29" s="403" t="n">
        <f aca="false">AC17/AC$26</f>
        <v>0.499984741676585</v>
      </c>
      <c r="AD29" s="403" t="n">
        <f aca="false">AD17/AD$26</f>
        <v>0.499992370721882</v>
      </c>
      <c r="AE29" s="403" t="n">
        <f aca="false">AE17/AE$26</f>
        <v>0.499996185331838</v>
      </c>
      <c r="AF29" s="403" t="n">
        <f aca="false">AF17/AF$26</f>
        <v>0.499998092658643</v>
      </c>
      <c r="AG29" s="405" t="n">
        <f aca="false">AG17/AG$26</f>
        <v>0.499999046327503</v>
      </c>
    </row>
    <row r="30" customFormat="false" ht="12.75" hidden="false" customHeight="false" outlineLevel="0" collapsed="false">
      <c r="B30" s="395" t="n">
        <v>0</v>
      </c>
      <c r="C30" s="395" t="n">
        <v>0</v>
      </c>
      <c r="D30" s="394" t="n">
        <v>0</v>
      </c>
      <c r="E30" s="395" t="n">
        <v>0</v>
      </c>
      <c r="F30" s="395" t="n">
        <v>0</v>
      </c>
      <c r="G30" s="395" t="n">
        <v>0</v>
      </c>
      <c r="H30" s="395" t="n">
        <v>0</v>
      </c>
      <c r="I30" s="395" t="n">
        <v>0</v>
      </c>
      <c r="J30" s="395" t="n">
        <v>0</v>
      </c>
      <c r="K30" s="395" t="n">
        <v>0</v>
      </c>
      <c r="M30" s="402" t="n">
        <f aca="false">M18/M$26</f>
        <v>0.0833333333333333</v>
      </c>
      <c r="N30" s="402" t="n">
        <f aca="false">N18/N$26</f>
        <v>0.0625</v>
      </c>
      <c r="O30" s="402" t="n">
        <f aca="false">O18/O$26</f>
        <v>0.0416666666666667</v>
      </c>
      <c r="P30" s="402" t="n">
        <f aca="false">P18/P$26</f>
        <v>0.025</v>
      </c>
      <c r="Q30" s="402" t="n">
        <f aca="false">Q18/Q$26</f>
        <v>0.0138888888888889</v>
      </c>
      <c r="R30" s="402" t="n">
        <f aca="false">R18/R$26</f>
        <v>0.00735294117647059</v>
      </c>
      <c r="S30" s="402" t="n">
        <f aca="false">S18/S$26</f>
        <v>0.00378787878787879</v>
      </c>
      <c r="T30" s="402" t="n">
        <f aca="false">T18/T$26</f>
        <v>0.00192307692307692</v>
      </c>
      <c r="U30" s="402" t="n">
        <f aca="false">U18/U$26</f>
        <v>0.000968992248062015</v>
      </c>
      <c r="V30" s="402" t="n">
        <f aca="false">V18/V$26</f>
        <v>0.000486381322957198</v>
      </c>
      <c r="W30" s="402" t="n">
        <f aca="false">W18/W$26</f>
        <v>0.000243664717348928</v>
      </c>
      <c r="X30" s="402" t="n">
        <f aca="false">X18/X$26</f>
        <v>0.000121951219512195</v>
      </c>
      <c r="Y30" s="403" t="n">
        <f aca="false">Y18/Y$26</f>
        <v>6.10053684724256E-005</v>
      </c>
      <c r="Z30" s="403" t="n">
        <f aca="false">Z18/Z$26</f>
        <v>3.05101293629485E-005</v>
      </c>
      <c r="AA30" s="403" t="n">
        <f aca="false">AA18/AA$26</f>
        <v>1.52569266446967E-005</v>
      </c>
      <c r="AB30" s="403" t="n">
        <f aca="false">AB18/AB$26</f>
        <v>7.62892889838267E-006</v>
      </c>
      <c r="AC30" s="403" t="n">
        <f aca="false">AC18/AC$26</f>
        <v>3.81458085385578E-006</v>
      </c>
      <c r="AD30" s="403" t="n">
        <f aca="false">AD18/AD$26</f>
        <v>1.90731952942613E-006</v>
      </c>
      <c r="AE30" s="403" t="n">
        <f aca="false">AE18/AE$26</f>
        <v>9.53667040504147E-007</v>
      </c>
      <c r="AF30" s="403" t="n">
        <f aca="false">AF18/AF$26</f>
        <v>4.7683533922066E-007</v>
      </c>
      <c r="AG30" s="405" t="n">
        <f aca="false">AG18/AG$26</f>
        <v>2.38418124355079E-007</v>
      </c>
    </row>
    <row r="31" customFormat="false" ht="12.75" hidden="false" customHeight="false" outlineLevel="0" collapsed="false">
      <c r="B31" s="395" t="n">
        <v>0</v>
      </c>
      <c r="C31" s="395" t="n">
        <v>0</v>
      </c>
      <c r="D31" s="395" t="n">
        <v>0</v>
      </c>
      <c r="E31" s="394" t="n">
        <v>0</v>
      </c>
      <c r="F31" s="395" t="n">
        <v>0</v>
      </c>
      <c r="G31" s="395" t="n">
        <v>0</v>
      </c>
      <c r="H31" s="395" t="n">
        <v>0</v>
      </c>
      <c r="I31" s="395" t="n">
        <v>0</v>
      </c>
      <c r="J31" s="395" t="n">
        <v>0</v>
      </c>
      <c r="K31" s="395" t="n">
        <v>0</v>
      </c>
      <c r="M31" s="402" t="n">
        <f aca="false">M19/M$26</f>
        <v>0.0833333333333333</v>
      </c>
      <c r="N31" s="402" t="n">
        <f aca="false">N19/N$26</f>
        <v>0.0625</v>
      </c>
      <c r="O31" s="402" t="n">
        <f aca="false">O19/O$26</f>
        <v>0.0416666666666667</v>
      </c>
      <c r="P31" s="402" t="n">
        <f aca="false">P19/P$26</f>
        <v>0.025</v>
      </c>
      <c r="Q31" s="402" t="n">
        <f aca="false">Q19/Q$26</f>
        <v>0.0138888888888889</v>
      </c>
      <c r="R31" s="402" t="n">
        <f aca="false">R19/R$26</f>
        <v>0.00735294117647059</v>
      </c>
      <c r="S31" s="402" t="n">
        <f aca="false">S19/S$26</f>
        <v>0.00378787878787879</v>
      </c>
      <c r="T31" s="402" t="n">
        <f aca="false">T19/T$26</f>
        <v>0.00192307692307692</v>
      </c>
      <c r="U31" s="402" t="n">
        <f aca="false">U19/U$26</f>
        <v>0.000968992248062015</v>
      </c>
      <c r="V31" s="402" t="n">
        <f aca="false">V19/V$26</f>
        <v>0.000486381322957198</v>
      </c>
      <c r="W31" s="402" t="n">
        <f aca="false">W19/W$26</f>
        <v>0.000243664717348928</v>
      </c>
      <c r="X31" s="402" t="n">
        <f aca="false">X19/X$26</f>
        <v>0.000121951219512195</v>
      </c>
      <c r="Y31" s="403" t="n">
        <f aca="false">Y19/Y$26</f>
        <v>6.10053684724256E-005</v>
      </c>
      <c r="Z31" s="403" t="n">
        <f aca="false">Z19/Z$26</f>
        <v>3.05101293629485E-005</v>
      </c>
      <c r="AA31" s="403" t="n">
        <f aca="false">AA19/AA$26</f>
        <v>1.52569266446967E-005</v>
      </c>
      <c r="AB31" s="403" t="n">
        <f aca="false">AB19/AB$26</f>
        <v>7.62892889838267E-006</v>
      </c>
      <c r="AC31" s="403" t="n">
        <f aca="false">AC19/AC$26</f>
        <v>3.81458085385578E-006</v>
      </c>
      <c r="AD31" s="403" t="n">
        <f aca="false">AD19/AD$26</f>
        <v>1.90731952942613E-006</v>
      </c>
      <c r="AE31" s="403" t="n">
        <f aca="false">AE19/AE$26</f>
        <v>9.53667040504147E-007</v>
      </c>
      <c r="AF31" s="403" t="n">
        <f aca="false">AF19/AF$26</f>
        <v>4.7683533922066E-007</v>
      </c>
      <c r="AG31" s="405" t="n">
        <f aca="false">AG19/AG$26</f>
        <v>2.38418124355079E-007</v>
      </c>
    </row>
    <row r="32" customFormat="false" ht="12.75" hidden="false" customHeight="false" outlineLevel="0" collapsed="false">
      <c r="B32" s="395" t="n">
        <v>0</v>
      </c>
      <c r="C32" s="395" t="n">
        <v>0</v>
      </c>
      <c r="D32" s="395" t="n">
        <v>0</v>
      </c>
      <c r="E32" s="395" t="n">
        <v>0</v>
      </c>
      <c r="F32" s="394" t="n">
        <v>0</v>
      </c>
      <c r="G32" s="395" t="n">
        <v>0</v>
      </c>
      <c r="H32" s="395" t="n">
        <v>0</v>
      </c>
      <c r="I32" s="395" t="n">
        <v>0</v>
      </c>
      <c r="J32" s="395" t="n">
        <v>0</v>
      </c>
      <c r="K32" s="395" t="n">
        <v>0</v>
      </c>
      <c r="M32" s="402" t="n">
        <f aca="false">M20/M$26</f>
        <v>0.0833333333333333</v>
      </c>
      <c r="N32" s="402" t="n">
        <f aca="false">N20/N$26</f>
        <v>0.0625</v>
      </c>
      <c r="O32" s="402" t="n">
        <f aca="false">O20/O$26</f>
        <v>0.0416666666666667</v>
      </c>
      <c r="P32" s="402" t="n">
        <f aca="false">P20/P$26</f>
        <v>0.025</v>
      </c>
      <c r="Q32" s="402" t="n">
        <f aca="false">Q20/Q$26</f>
        <v>0.0138888888888889</v>
      </c>
      <c r="R32" s="402" t="n">
        <f aca="false">R20/R$26</f>
        <v>0.00735294117647059</v>
      </c>
      <c r="S32" s="402" t="n">
        <f aca="false">S20/S$26</f>
        <v>0.00378787878787879</v>
      </c>
      <c r="T32" s="402" t="n">
        <f aca="false">T20/T$26</f>
        <v>0.00192307692307692</v>
      </c>
      <c r="U32" s="402" t="n">
        <f aca="false">U20/U$26</f>
        <v>0.000968992248062015</v>
      </c>
      <c r="V32" s="402" t="n">
        <f aca="false">V20/V$26</f>
        <v>0.000486381322957198</v>
      </c>
      <c r="W32" s="402" t="n">
        <f aca="false">W20/W$26</f>
        <v>0.000243664717348928</v>
      </c>
      <c r="X32" s="402" t="n">
        <f aca="false">X20/X$26</f>
        <v>0.000121951219512195</v>
      </c>
      <c r="Y32" s="403" t="n">
        <f aca="false">Y20/Y$26</f>
        <v>6.10053684724256E-005</v>
      </c>
      <c r="Z32" s="403" t="n">
        <f aca="false">Z20/Z$26</f>
        <v>3.05101293629485E-005</v>
      </c>
      <c r="AA32" s="403" t="n">
        <f aca="false">AA20/AA$26</f>
        <v>1.52569266446967E-005</v>
      </c>
      <c r="AB32" s="403" t="n">
        <f aca="false">AB20/AB$26</f>
        <v>7.62892889838267E-006</v>
      </c>
      <c r="AC32" s="403" t="n">
        <f aca="false">AC20/AC$26</f>
        <v>3.81458085385578E-006</v>
      </c>
      <c r="AD32" s="403" t="n">
        <f aca="false">AD20/AD$26</f>
        <v>1.90731952942613E-006</v>
      </c>
      <c r="AE32" s="403" t="n">
        <f aca="false">AE20/AE$26</f>
        <v>9.53667040504147E-007</v>
      </c>
      <c r="AF32" s="403" t="n">
        <f aca="false">AF20/AF$26</f>
        <v>4.7683533922066E-007</v>
      </c>
      <c r="AG32" s="405" t="n">
        <f aca="false">AG20/AG$26</f>
        <v>2.38418124355079E-007</v>
      </c>
    </row>
    <row r="33" customFormat="false" ht="12.75" hidden="false" customHeight="false" outlineLevel="0" collapsed="false">
      <c r="B33" s="395" t="n">
        <v>0</v>
      </c>
      <c r="C33" s="395" t="n">
        <v>0</v>
      </c>
      <c r="D33" s="395" t="n">
        <v>0</v>
      </c>
      <c r="E33" s="395" t="n">
        <v>0</v>
      </c>
      <c r="F33" s="395" t="n">
        <v>0</v>
      </c>
      <c r="G33" s="394" t="n">
        <v>0</v>
      </c>
      <c r="H33" s="395" t="n">
        <v>0</v>
      </c>
      <c r="I33" s="395" t="n">
        <v>0</v>
      </c>
      <c r="J33" s="395" t="n">
        <v>0</v>
      </c>
      <c r="K33" s="395" t="n">
        <v>0</v>
      </c>
      <c r="M33" s="402" t="n">
        <f aca="false">M21/M$26</f>
        <v>0.0833333333333333</v>
      </c>
      <c r="N33" s="402" t="n">
        <f aca="false">N21/N$26</f>
        <v>0.0625</v>
      </c>
      <c r="O33" s="402" t="n">
        <f aca="false">O21/O$26</f>
        <v>0.0416666666666667</v>
      </c>
      <c r="P33" s="402" t="n">
        <f aca="false">P21/P$26</f>
        <v>0.025</v>
      </c>
      <c r="Q33" s="402" t="n">
        <f aca="false">Q21/Q$26</f>
        <v>0.0138888888888889</v>
      </c>
      <c r="R33" s="402" t="n">
        <f aca="false">R21/R$26</f>
        <v>0.00735294117647059</v>
      </c>
      <c r="S33" s="402" t="n">
        <f aca="false">S21/S$26</f>
        <v>0.00378787878787879</v>
      </c>
      <c r="T33" s="402" t="n">
        <f aca="false">T21/T$26</f>
        <v>0.00192307692307692</v>
      </c>
      <c r="U33" s="402" t="n">
        <f aca="false">U21/U$26</f>
        <v>0.000968992248062015</v>
      </c>
      <c r="V33" s="402" t="n">
        <f aca="false">V21/V$26</f>
        <v>0.000486381322957198</v>
      </c>
      <c r="W33" s="402" t="n">
        <f aca="false">W21/W$26</f>
        <v>0.000243664717348928</v>
      </c>
      <c r="X33" s="402" t="n">
        <f aca="false">X21/X$26</f>
        <v>0.000121951219512195</v>
      </c>
      <c r="Y33" s="403" t="n">
        <f aca="false">Y21/Y$26</f>
        <v>6.10053684724256E-005</v>
      </c>
      <c r="Z33" s="403" t="n">
        <f aca="false">Z21/Z$26</f>
        <v>3.05101293629485E-005</v>
      </c>
      <c r="AA33" s="403" t="n">
        <f aca="false">AA21/AA$26</f>
        <v>1.52569266446967E-005</v>
      </c>
      <c r="AB33" s="403" t="n">
        <f aca="false">AB21/AB$26</f>
        <v>7.62892889838267E-006</v>
      </c>
      <c r="AC33" s="403" t="n">
        <f aca="false">AC21/AC$26</f>
        <v>3.81458085385578E-006</v>
      </c>
      <c r="AD33" s="403" t="n">
        <f aca="false">AD21/AD$26</f>
        <v>1.90731952942613E-006</v>
      </c>
      <c r="AE33" s="403" t="n">
        <f aca="false">AE21/AE$26</f>
        <v>9.53667040504147E-007</v>
      </c>
      <c r="AF33" s="403" t="n">
        <f aca="false">AF21/AF$26</f>
        <v>4.7683533922066E-007</v>
      </c>
      <c r="AG33" s="405" t="n">
        <f aca="false">AG21/AG$26</f>
        <v>2.38418124355079E-007</v>
      </c>
    </row>
    <row r="34" customFormat="false" ht="12.75" hidden="false" customHeight="false" outlineLevel="0" collapsed="false">
      <c r="B34" s="395" t="n">
        <v>0</v>
      </c>
      <c r="C34" s="395" t="n">
        <v>0</v>
      </c>
      <c r="D34" s="395" t="n">
        <v>0</v>
      </c>
      <c r="E34" s="395" t="n">
        <v>0</v>
      </c>
      <c r="F34" s="395" t="n">
        <v>0</v>
      </c>
      <c r="G34" s="395" t="n">
        <v>0</v>
      </c>
      <c r="H34" s="394" t="n">
        <v>0</v>
      </c>
      <c r="I34" s="395" t="n">
        <v>0</v>
      </c>
      <c r="J34" s="395" t="n">
        <v>0</v>
      </c>
      <c r="K34" s="395" t="n">
        <v>0</v>
      </c>
      <c r="M34" s="402" t="n">
        <f aca="false">M22/M$26</f>
        <v>0.0833333333333333</v>
      </c>
      <c r="N34" s="402" t="n">
        <f aca="false">N22/N$26</f>
        <v>0.0625</v>
      </c>
      <c r="O34" s="402" t="n">
        <f aca="false">O22/O$26</f>
        <v>0.0416666666666667</v>
      </c>
      <c r="P34" s="402" t="n">
        <f aca="false">P22/P$26</f>
        <v>0.025</v>
      </c>
      <c r="Q34" s="402" t="n">
        <f aca="false">Q22/Q$26</f>
        <v>0.0138888888888889</v>
      </c>
      <c r="R34" s="402" t="n">
        <f aca="false">R22/R$26</f>
        <v>0.00735294117647059</v>
      </c>
      <c r="S34" s="402" t="n">
        <f aca="false">S22/S$26</f>
        <v>0.00378787878787879</v>
      </c>
      <c r="T34" s="402" t="n">
        <f aca="false">T22/T$26</f>
        <v>0.00192307692307692</v>
      </c>
      <c r="U34" s="402" t="n">
        <f aca="false">U22/U$26</f>
        <v>0.000968992248062015</v>
      </c>
      <c r="V34" s="402" t="n">
        <f aca="false">V22/V$26</f>
        <v>0.000486381322957198</v>
      </c>
      <c r="W34" s="402" t="n">
        <f aca="false">W22/W$26</f>
        <v>0.000243664717348928</v>
      </c>
      <c r="X34" s="402" t="n">
        <f aca="false">X22/X$26</f>
        <v>0.000121951219512195</v>
      </c>
      <c r="Y34" s="403" t="n">
        <f aca="false">Y22/Y$26</f>
        <v>6.10053684724256E-005</v>
      </c>
      <c r="Z34" s="403" t="n">
        <f aca="false">Z22/Z$26</f>
        <v>3.05101293629485E-005</v>
      </c>
      <c r="AA34" s="403" t="n">
        <f aca="false">AA22/AA$26</f>
        <v>1.52569266446967E-005</v>
      </c>
      <c r="AB34" s="403" t="n">
        <f aca="false">AB22/AB$26</f>
        <v>7.62892889838267E-006</v>
      </c>
      <c r="AC34" s="403" t="n">
        <f aca="false">AC22/AC$26</f>
        <v>3.81458085385578E-006</v>
      </c>
      <c r="AD34" s="403" t="n">
        <f aca="false">AD22/AD$26</f>
        <v>1.90731952942613E-006</v>
      </c>
      <c r="AE34" s="403" t="n">
        <f aca="false">AE22/AE$26</f>
        <v>9.53667040504147E-007</v>
      </c>
      <c r="AF34" s="403" t="n">
        <f aca="false">AF22/AF$26</f>
        <v>4.7683533922066E-007</v>
      </c>
      <c r="AG34" s="405" t="n">
        <f aca="false">AG22/AG$26</f>
        <v>2.38418124355079E-007</v>
      </c>
    </row>
    <row r="35" customFormat="false" ht="12.75" hidden="false" customHeight="false" outlineLevel="0" collapsed="false">
      <c r="B35" s="395" t="n">
        <v>0</v>
      </c>
      <c r="C35" s="395" t="n">
        <v>0</v>
      </c>
      <c r="D35" s="395" t="n">
        <v>0</v>
      </c>
      <c r="E35" s="395" t="n">
        <v>0</v>
      </c>
      <c r="F35" s="395" t="n">
        <v>0</v>
      </c>
      <c r="G35" s="395" t="n">
        <v>0</v>
      </c>
      <c r="H35" s="395" t="n">
        <v>0</v>
      </c>
      <c r="I35" s="394" t="n">
        <v>0</v>
      </c>
      <c r="J35" s="395" t="n">
        <v>0</v>
      </c>
      <c r="K35" s="395" t="n">
        <v>0</v>
      </c>
      <c r="M35" s="402" t="n">
        <f aca="false">M23/M$26</f>
        <v>0.0833333333333333</v>
      </c>
      <c r="N35" s="402" t="n">
        <f aca="false">N23/N$26</f>
        <v>0.0625</v>
      </c>
      <c r="O35" s="402" t="n">
        <f aca="false">O23/O$26</f>
        <v>0.0416666666666667</v>
      </c>
      <c r="P35" s="402" t="n">
        <f aca="false">P23/P$26</f>
        <v>0.025</v>
      </c>
      <c r="Q35" s="402" t="n">
        <f aca="false">Q23/Q$26</f>
        <v>0.0138888888888889</v>
      </c>
      <c r="R35" s="402" t="n">
        <f aca="false">R23/R$26</f>
        <v>0.00735294117647059</v>
      </c>
      <c r="S35" s="402" t="n">
        <f aca="false">S23/S$26</f>
        <v>0.00378787878787879</v>
      </c>
      <c r="T35" s="402" t="n">
        <f aca="false">T23/T$26</f>
        <v>0.00192307692307692</v>
      </c>
      <c r="U35" s="402" t="n">
        <f aca="false">U23/U$26</f>
        <v>0.000968992248062015</v>
      </c>
      <c r="V35" s="402" t="n">
        <f aca="false">V23/V$26</f>
        <v>0.000486381322957198</v>
      </c>
      <c r="W35" s="402" t="n">
        <f aca="false">W23/W$26</f>
        <v>0.000243664717348928</v>
      </c>
      <c r="X35" s="402" t="n">
        <f aca="false">X23/X$26</f>
        <v>0.000121951219512195</v>
      </c>
      <c r="Y35" s="403" t="n">
        <f aca="false">Y23/Y$26</f>
        <v>6.10053684724256E-005</v>
      </c>
      <c r="Z35" s="403" t="n">
        <f aca="false">Z23/Z$26</f>
        <v>3.05101293629485E-005</v>
      </c>
      <c r="AA35" s="403" t="n">
        <f aca="false">AA23/AA$26</f>
        <v>1.52569266446967E-005</v>
      </c>
      <c r="AB35" s="403" t="n">
        <f aca="false">AB23/AB$26</f>
        <v>7.62892889838267E-006</v>
      </c>
      <c r="AC35" s="403" t="n">
        <f aca="false">AC23/AC$26</f>
        <v>3.81458085385578E-006</v>
      </c>
      <c r="AD35" s="403" t="n">
        <f aca="false">AD23/AD$26</f>
        <v>1.90731952942613E-006</v>
      </c>
      <c r="AE35" s="403" t="n">
        <f aca="false">AE23/AE$26</f>
        <v>9.53667040504147E-007</v>
      </c>
      <c r="AF35" s="403" t="n">
        <f aca="false">AF23/AF$26</f>
        <v>4.7683533922066E-007</v>
      </c>
      <c r="AG35" s="405" t="n">
        <f aca="false">AG23/AG$26</f>
        <v>2.38418124355079E-007</v>
      </c>
    </row>
    <row r="36" customFormat="false" ht="12.75" hidden="false" customHeight="false" outlineLevel="0" collapsed="false">
      <c r="B36" s="395" t="n">
        <v>0</v>
      </c>
      <c r="C36" s="395" t="n">
        <v>0</v>
      </c>
      <c r="D36" s="395" t="n">
        <v>0</v>
      </c>
      <c r="E36" s="395" t="n">
        <v>0</v>
      </c>
      <c r="F36" s="395" t="n">
        <v>0</v>
      </c>
      <c r="G36" s="395" t="n">
        <v>0</v>
      </c>
      <c r="H36" s="395" t="n">
        <v>0</v>
      </c>
      <c r="I36" s="395" t="n">
        <v>0</v>
      </c>
      <c r="J36" s="394" t="n">
        <v>0</v>
      </c>
      <c r="K36" s="395" t="n">
        <v>0</v>
      </c>
      <c r="M36" s="402" t="n">
        <f aca="false">M24/M$26</f>
        <v>0.0833333333333333</v>
      </c>
      <c r="N36" s="402" t="n">
        <f aca="false">N24/N$26</f>
        <v>0.0625</v>
      </c>
      <c r="O36" s="402" t="n">
        <f aca="false">O24/O$26</f>
        <v>0.0416666666666667</v>
      </c>
      <c r="P36" s="402" t="n">
        <f aca="false">P24/P$26</f>
        <v>0.025</v>
      </c>
      <c r="Q36" s="402" t="n">
        <f aca="false">Q24/Q$26</f>
        <v>0.0138888888888889</v>
      </c>
      <c r="R36" s="402" t="n">
        <f aca="false">R24/R$26</f>
        <v>0.00735294117647059</v>
      </c>
      <c r="S36" s="402" t="n">
        <f aca="false">S24/S$26</f>
        <v>0.00378787878787879</v>
      </c>
      <c r="T36" s="402" t="n">
        <f aca="false">T24/T$26</f>
        <v>0.00192307692307692</v>
      </c>
      <c r="U36" s="402" t="n">
        <f aca="false">U24/U$26</f>
        <v>0.000968992248062015</v>
      </c>
      <c r="V36" s="402" t="n">
        <f aca="false">V24/V$26</f>
        <v>0.000486381322957198</v>
      </c>
      <c r="W36" s="402" t="n">
        <f aca="false">W24/W$26</f>
        <v>0.000243664717348928</v>
      </c>
      <c r="X36" s="402" t="n">
        <f aca="false">X24/X$26</f>
        <v>0.000121951219512195</v>
      </c>
      <c r="Y36" s="403" t="n">
        <f aca="false">Y24/Y$26</f>
        <v>6.10053684724256E-005</v>
      </c>
      <c r="Z36" s="403" t="n">
        <f aca="false">Z24/Z$26</f>
        <v>3.05101293629485E-005</v>
      </c>
      <c r="AA36" s="403" t="n">
        <f aca="false">AA24/AA$26</f>
        <v>1.52569266446967E-005</v>
      </c>
      <c r="AB36" s="403" t="n">
        <f aca="false">AB24/AB$26</f>
        <v>7.62892889838267E-006</v>
      </c>
      <c r="AC36" s="403" t="n">
        <f aca="false">AC24/AC$26</f>
        <v>3.81458085385578E-006</v>
      </c>
      <c r="AD36" s="403" t="n">
        <f aca="false">AD24/AD$26</f>
        <v>1.90731952942613E-006</v>
      </c>
      <c r="AE36" s="403" t="n">
        <f aca="false">AE24/AE$26</f>
        <v>9.53667040504147E-007</v>
      </c>
      <c r="AF36" s="403" t="n">
        <f aca="false">AF24/AF$26</f>
        <v>4.7683533922066E-007</v>
      </c>
      <c r="AG36" s="405" t="n">
        <f aca="false">AG24/AG$26</f>
        <v>2.38418124355079E-007</v>
      </c>
    </row>
    <row r="37" customFormat="false" ht="12.75" hidden="false" customHeight="false" outlineLevel="0" collapsed="false">
      <c r="B37" s="395" t="n">
        <v>0</v>
      </c>
      <c r="C37" s="395" t="n">
        <v>0</v>
      </c>
      <c r="D37" s="395" t="n">
        <v>0</v>
      </c>
      <c r="E37" s="395" t="n">
        <v>0</v>
      </c>
      <c r="F37" s="395" t="n">
        <v>0</v>
      </c>
      <c r="G37" s="395" t="n">
        <v>0</v>
      </c>
      <c r="H37" s="395" t="n">
        <v>0</v>
      </c>
      <c r="I37" s="395" t="n">
        <v>0</v>
      </c>
      <c r="J37" s="395" t="n">
        <v>0</v>
      </c>
      <c r="K37" s="394" t="n">
        <v>0</v>
      </c>
      <c r="M37" s="402" t="n">
        <f aca="false">M25/M$26</f>
        <v>0.0833333333333333</v>
      </c>
      <c r="N37" s="402" t="n">
        <f aca="false">N25/N$26</f>
        <v>0.0625</v>
      </c>
      <c r="O37" s="402" t="n">
        <f aca="false">O25/O$26</f>
        <v>0.0416666666666667</v>
      </c>
      <c r="P37" s="402" t="n">
        <f aca="false">P25/P$26</f>
        <v>0.025</v>
      </c>
      <c r="Q37" s="402" t="n">
        <f aca="false">Q25/Q$26</f>
        <v>0.0138888888888889</v>
      </c>
      <c r="R37" s="402" t="n">
        <f aca="false">R25/R$26</f>
        <v>0.00735294117647059</v>
      </c>
      <c r="S37" s="402" t="n">
        <f aca="false">S25/S$26</f>
        <v>0.00378787878787879</v>
      </c>
      <c r="T37" s="402" t="n">
        <f aca="false">T25/T$26</f>
        <v>0.00192307692307692</v>
      </c>
      <c r="U37" s="402" t="n">
        <f aca="false">U25/U$26</f>
        <v>0.000968992248062015</v>
      </c>
      <c r="V37" s="402" t="n">
        <f aca="false">V25/V$26</f>
        <v>0.000486381322957198</v>
      </c>
      <c r="W37" s="402" t="n">
        <f aca="false">W25/W$26</f>
        <v>0.000243664717348928</v>
      </c>
      <c r="X37" s="402" t="n">
        <f aca="false">X25/X$26</f>
        <v>0.000121951219512195</v>
      </c>
      <c r="Y37" s="403" t="n">
        <f aca="false">Y25/Y$26</f>
        <v>6.10053684724256E-005</v>
      </c>
      <c r="Z37" s="403" t="n">
        <f aca="false">Z25/Z$26</f>
        <v>3.05101293629485E-005</v>
      </c>
      <c r="AA37" s="403" t="n">
        <f aca="false">AA25/AA$26</f>
        <v>1.52569266446967E-005</v>
      </c>
      <c r="AB37" s="403" t="n">
        <f aca="false">AB25/AB$26</f>
        <v>7.62892889838267E-006</v>
      </c>
      <c r="AC37" s="403" t="n">
        <f aca="false">AC25/AC$26</f>
        <v>3.81458085385578E-006</v>
      </c>
      <c r="AD37" s="403" t="n">
        <f aca="false">AD25/AD$26</f>
        <v>1.90731952942613E-006</v>
      </c>
      <c r="AE37" s="403" t="n">
        <f aca="false">AE25/AE$26</f>
        <v>9.53667040504147E-007</v>
      </c>
      <c r="AF37" s="403" t="n">
        <f aca="false">AF25/AF$26</f>
        <v>4.7683533922066E-007</v>
      </c>
      <c r="AG37" s="405" t="n">
        <f aca="false">AG25/AG$26</f>
        <v>2.38418124355079E-007</v>
      </c>
    </row>
    <row r="38" customFormat="false" ht="13.5" hidden="false" customHeight="false" outlineLevel="0" collapsed="false">
      <c r="M38" s="406" t="s">
        <v>187</v>
      </c>
      <c r="N38" s="385" t="n">
        <f aca="false">SUM($B15*N28,$C15*N29,$D15*N30,$E15*N31,$F15*N32,$G15*N33,$H15*N34,$I15*N35,$J15*N36,$K15*N37)</f>
        <v>1</v>
      </c>
      <c r="O38" s="385" t="n">
        <f aca="false">SUM($B15*O28,$C15*O29,$D15*O30,$E15*O31,$F15*O32,$G15*O33,$H15*O34,$I15*O35,$J15*O36,$K15*O37)</f>
        <v>1.33333333333333</v>
      </c>
      <c r="P38" s="385" t="n">
        <f aca="false">SUM($B15*P28,$C15*P29,$D15*P30,$E15*P31,$F15*P32,$G15*P33,$H15*P34,$I15*P35,$J15*P36,$K15*P37)</f>
        <v>1.6</v>
      </c>
      <c r="Q38" s="385" t="n">
        <f aca="false">SUM($B15*Q28,$C15*Q29,$D15*Q30,$E15*Q31,$F15*Q32,$G15*Q33,$H15*Q34,$I15*Q35,$J15*Q36,$K15*Q37)</f>
        <v>1.77777777777778</v>
      </c>
      <c r="R38" s="385" t="n">
        <f aca="false">SUM($B15*R28,$C15*R29,$D15*R30,$E15*R31,$F15*R32,$G15*R33,$H15*R34,$I15*R35,$J15*R36,$K15*R37)</f>
        <v>1.88235294117647</v>
      </c>
      <c r="S38" s="385" t="n">
        <f aca="false">SUM($B15*S28,$C15*S29,$D15*S30,$E15*S31,$F15*S32,$G15*S33,$H15*S34,$I15*S35,$J15*S36,$K15*S37)</f>
        <v>1.93939393939394</v>
      </c>
      <c r="T38" s="385" t="n">
        <f aca="false">SUM($B15*T28,$C15*T29,$D15*T30,$E15*T31,$F15*T32,$G15*T33,$H15*T34,$I15*T35,$J15*T36,$K15*T37)</f>
        <v>1.96923076923077</v>
      </c>
      <c r="U38" s="385" t="n">
        <f aca="false">SUM($B15*U28,$C15*U29,$D15*U30,$E15*U31,$F15*U32,$G15*U33,$H15*U34,$I15*U35,$J15*U36,$K15*U37)</f>
        <v>1.98449612403101</v>
      </c>
      <c r="V38" s="385" t="n">
        <f aca="false">SUM($B15*V28,$C15*V29,$D15*V30,$E15*V31,$F15*V32,$G15*V33,$H15*V34,$I15*V35,$J15*V36,$K15*V37)</f>
        <v>1.99221789883269</v>
      </c>
      <c r="W38" s="385" t="n">
        <f aca="false">SUM($B15*W28,$C15*W29,$D15*W30,$E15*W31,$F15*W32,$G15*W33,$H15*W34,$I15*W35,$J15*W36,$K15*W37)</f>
        <v>1.99610136452242</v>
      </c>
      <c r="X38" s="385" t="n">
        <f aca="false">SUM($B15*X28,$C15*X29,$D15*X30,$E15*X31,$F15*X32,$G15*X33,$H15*X34,$I15*X35,$J15*X36,$K15*X37)</f>
        <v>1.99804878048781</v>
      </c>
      <c r="Y38" s="399" t="n">
        <f aca="false">SUM($B15*Y28,$C15*Y29,$D15*Y30,$E15*Y31,$F15*Y32,$G15*Y33,$H15*Y34,$I15*Y35,$J15*Y36,$K15*Y37)</f>
        <v>1.99902391410444</v>
      </c>
      <c r="Z38" s="399" t="n">
        <f aca="false">SUM($B15*Z28,$C15*Z29,$D15*Z30,$E15*Z31,$F15*Z32,$G15*Z33,$H15*Z34,$I15*Z35,$J15*Z36,$K15*Z37)</f>
        <v>1.99951183793019</v>
      </c>
      <c r="AA38" s="399" t="n">
        <f aca="false">SUM($B15*AA28,$C15*AA29,$D15*AA30,$E15*AA31,$F15*AA32,$G15*AA33,$H15*AA34,$I15*AA35,$J15*AA36,$K15*AA37)</f>
        <v>1.99975588917368</v>
      </c>
      <c r="AB38" s="399" t="n">
        <f aca="false">SUM($B15*AB28,$C15*AB29,$D15*AB30,$E15*AB31,$F15*AB32,$G15*AB33,$H15*AB34,$I15*AB35,$J15*AB36,$K15*AB37)</f>
        <v>1.99987793713763</v>
      </c>
      <c r="AC38" s="399" t="n">
        <f aca="false">SUM($B15*AC28,$C15*AC29,$D15*AC30,$E15*AC31,$F15*AC32,$G15*AC33,$H15*AC34,$I15*AC35,$J15*AC36,$K15*AC37)</f>
        <v>1.99993896670634</v>
      </c>
      <c r="AD38" s="399" t="n">
        <f aca="false">SUM($B15*AD28,$C15*AD29,$D15*AD30,$E15*AD31,$F15*AD32,$G15*AD33,$H15*AD34,$I15*AD35,$J15*AD36,$K15*AD37)</f>
        <v>1.99996948288753</v>
      </c>
      <c r="AE38" s="399" t="n">
        <f aca="false">SUM($B15*AE28,$C15*AE29,$D15*AE30,$E15*AE31,$F15*AE32,$G15*AE33,$H15*AE34,$I15*AE35,$J15*AE36,$K15*AE37)</f>
        <v>1.99998474132735</v>
      </c>
      <c r="AF38" s="399" t="n">
        <f aca="false">SUM($B15*AF28,$C15*AF29,$D15*AF30,$E15*AF31,$F15*AF32,$G15*AF33,$H15*AF34,$I15*AF35,$J15*AF36,$K15*AF37)</f>
        <v>1.99999237063457</v>
      </c>
      <c r="AG38" s="407" t="n">
        <f aca="false">SUM($B15*AG28,$C15*AG29,$D15*AG30,$E15*AG31,$F15*AG32,$G15*AG33,$H15*AG34,$I15*AG35,$J15*AG36,$K15*AG37)</f>
        <v>1.99999618531001</v>
      </c>
    </row>
    <row r="39" customFormat="false" ht="13.5" hidden="false" customHeight="false" outlineLevel="0" collapsed="false">
      <c r="A39" s="408" t="s">
        <v>188</v>
      </c>
      <c r="B39" s="409" t="n">
        <f aca="false">M41</f>
        <v>9.30640772656327E-009</v>
      </c>
      <c r="L39" s="390" t="s">
        <v>189</v>
      </c>
      <c r="M39" s="410" t="n">
        <f aca="false">Summary!H15</f>
        <v>1E-008</v>
      </c>
      <c r="N39" s="411" t="n">
        <f aca="false">SUM(N40:N49)</f>
        <v>0.0173611111111111</v>
      </c>
      <c r="O39" s="411" t="n">
        <f aca="false">SUM(O40:O49)</f>
        <v>0.0173611111111111</v>
      </c>
      <c r="P39" s="411" t="n">
        <f aca="false">SUM(P40:P49)</f>
        <v>0.0111111111111111</v>
      </c>
      <c r="Q39" s="411" t="n">
        <f aca="false">SUM(Q40:Q49)</f>
        <v>0.00493827160493826</v>
      </c>
      <c r="R39" s="411" t="n">
        <f aca="false">SUM(R40:R49)</f>
        <v>0.00170874449997864</v>
      </c>
      <c r="S39" s="411" t="n">
        <f aca="false">SUM(S40:S49)</f>
        <v>0.000508386793382076</v>
      </c>
      <c r="T39" s="411" t="n">
        <f aca="false">SUM(T40:T49)</f>
        <v>0.000139099439798741</v>
      </c>
      <c r="U39" s="411" t="n">
        <f aca="false">SUM(U40:U49)</f>
        <v>3.64111026839316E-005</v>
      </c>
      <c r="V39" s="411" t="n">
        <f aca="false">SUM(V40:V49)</f>
        <v>9.3165322012212E-006</v>
      </c>
      <c r="W39" s="411" t="n">
        <f aca="false">SUM(W40:W49)</f>
        <v>2.3564540255199E-006</v>
      </c>
      <c r="X39" s="411" t="n">
        <f aca="false">SUM(X40:X49)</f>
        <v>5.92567022226147E-007</v>
      </c>
      <c r="Y39" s="411" t="n">
        <f aca="false">SUM(Y40:Y49)</f>
        <v>1.48575870358485E-007</v>
      </c>
      <c r="Z39" s="411" t="n">
        <f aca="false">SUM(Z40:Z49)</f>
        <v>3.71983843337606E-008</v>
      </c>
      <c r="AA39" s="411" t="n">
        <f aca="false">SUM(AA40:AA49)</f>
        <v>9.30640772656327E-009</v>
      </c>
      <c r="AB39" s="411" t="n">
        <f aca="false">SUM(AB40:AB49)</f>
        <v>2.32745398471003E-009</v>
      </c>
      <c r="AC39" s="411" t="n">
        <f aca="false">SUM(AC40:AC49)</f>
        <v>5.81970040191841E-010</v>
      </c>
      <c r="AD39" s="411" t="n">
        <f aca="false">SUM(AD40:AD49)</f>
        <v>1.45505830386619E-010</v>
      </c>
      <c r="AE39" s="411" t="n">
        <f aca="false">SUM(AE40:AE49)</f>
        <v>3.63781227850838E-011</v>
      </c>
      <c r="AF39" s="411" t="n">
        <f aca="false">SUM(AF40:AF49)</f>
        <v>9.09473885416792E-012</v>
      </c>
      <c r="AG39" s="411" t="n">
        <f aca="false">SUM(AG40:AG49)</f>
        <v>2.27371073367779E-012</v>
      </c>
    </row>
    <row r="40" customFormat="false" ht="12.75" hidden="false" customHeight="false" outlineLevel="1" collapsed="false">
      <c r="B40" s="412" t="n">
        <f aca="false">AG38</f>
        <v>1.99999618531001</v>
      </c>
      <c r="C40" s="412"/>
      <c r="D40" s="412"/>
      <c r="E40" s="412"/>
      <c r="F40" s="412"/>
      <c r="G40" s="412"/>
      <c r="H40" s="412"/>
      <c r="I40" s="412"/>
      <c r="J40" s="412"/>
      <c r="K40" s="412"/>
      <c r="L40" s="390" t="s">
        <v>70</v>
      </c>
      <c r="M40" s="413" t="n">
        <f aca="false">1+MATCH(M39,N39:AG39,-1)</f>
        <v>14</v>
      </c>
      <c r="N40" s="385" t="n">
        <f aca="false">(N28-M28)^2</f>
        <v>0.00694444444444445</v>
      </c>
      <c r="O40" s="385" t="n">
        <f aca="false">(O28-N28)^2</f>
        <v>0.00694444444444444</v>
      </c>
      <c r="P40" s="385" t="n">
        <f aca="false">(P28-O28)^2</f>
        <v>0.00444444444444445</v>
      </c>
      <c r="Q40" s="385" t="n">
        <f aca="false">(Q28-P28)^2</f>
        <v>0.0019753086419753</v>
      </c>
      <c r="R40" s="385" t="n">
        <f aca="false">(R28-Q28)^2</f>
        <v>0.000683497799991457</v>
      </c>
      <c r="S40" s="385" t="n">
        <f aca="false">(S28-R28)^2</f>
        <v>0.00020335471735283</v>
      </c>
      <c r="T40" s="385" t="n">
        <f aca="false">(T28-S28)^2</f>
        <v>5.56397759194964E-005</v>
      </c>
      <c r="U40" s="385" t="n">
        <f aca="false">(U28-T28)^2</f>
        <v>1.45644410735726E-005</v>
      </c>
      <c r="V40" s="385" t="n">
        <f aca="false">(V28-U28)^2</f>
        <v>3.72661288048849E-006</v>
      </c>
      <c r="W40" s="385" t="n">
        <f aca="false">(W28-V28)^2</f>
        <v>9.42581610207945E-007</v>
      </c>
      <c r="X40" s="385" t="n">
        <f aca="false">(X28-W28)^2</f>
        <v>2.37026808890464E-007</v>
      </c>
      <c r="Y40" s="385" t="n">
        <f aca="false">(Y28-X28)^2</f>
        <v>5.94303481433954E-008</v>
      </c>
      <c r="Z40" s="385" t="n">
        <f aca="false">(Z28-Y28)^2</f>
        <v>1.48793537335036E-008</v>
      </c>
      <c r="AA40" s="385" t="n">
        <f aca="false">(AA28-Z28)^2</f>
        <v>3.7225630906253E-009</v>
      </c>
      <c r="AB40" s="385" t="n">
        <f aca="false">(AB28-AA28)^2</f>
        <v>9.30981593883925E-010</v>
      </c>
      <c r="AC40" s="385" t="n">
        <f aca="false">(AC28-AB28)^2</f>
        <v>2.32788016076776E-010</v>
      </c>
      <c r="AD40" s="385" t="n">
        <f aca="false">(AD28-AC28)^2</f>
        <v>5.82023321546486E-011</v>
      </c>
      <c r="AE40" s="385" t="n">
        <f aca="false">(AE28-AD28)^2</f>
        <v>1.45512491140336E-011</v>
      </c>
      <c r="AF40" s="385" t="n">
        <f aca="false">(AF28-AE28)^2</f>
        <v>3.63789554168835E-012</v>
      </c>
      <c r="AG40" s="385" t="n">
        <f aca="false">(AG28-AF28)^2</f>
        <v>9.09484293461851E-013</v>
      </c>
    </row>
    <row r="41" customFormat="false" ht="12.75" hidden="false" customHeight="false" outlineLevel="1" collapsed="false">
      <c r="B41" s="412"/>
      <c r="C41" s="412" t="n">
        <f aca="false">B40</f>
        <v>1.99999618531001</v>
      </c>
      <c r="D41" s="412"/>
      <c r="E41" s="412"/>
      <c r="F41" s="412"/>
      <c r="G41" s="412"/>
      <c r="H41" s="412"/>
      <c r="I41" s="412"/>
      <c r="J41" s="412"/>
      <c r="K41" s="412"/>
      <c r="L41" s="414" t="s">
        <v>190</v>
      </c>
      <c r="M41" s="385" t="n">
        <f aca="false">INDEX(N39:AG39,0,MIN(M40,20))</f>
        <v>9.30640772656327E-009</v>
      </c>
      <c r="N41" s="385" t="n">
        <f aca="false">(N29-M29)^2</f>
        <v>0.00694444444444445</v>
      </c>
      <c r="O41" s="385" t="n">
        <f aca="false">(O29-N29)^2</f>
        <v>0.00694444444444444</v>
      </c>
      <c r="P41" s="385" t="n">
        <f aca="false">(P29-O29)^2</f>
        <v>0.00444444444444445</v>
      </c>
      <c r="Q41" s="385" t="n">
        <f aca="false">(Q29-P29)^2</f>
        <v>0.0019753086419753</v>
      </c>
      <c r="R41" s="385" t="n">
        <f aca="false">(R29-Q29)^2</f>
        <v>0.000683497799991457</v>
      </c>
      <c r="S41" s="385" t="n">
        <f aca="false">(S29-R29)^2</f>
        <v>0.00020335471735283</v>
      </c>
      <c r="T41" s="385" t="n">
        <f aca="false">(T29-S29)^2</f>
        <v>5.56397759194964E-005</v>
      </c>
      <c r="U41" s="385" t="n">
        <f aca="false">(U29-T29)^2</f>
        <v>1.45644410735726E-005</v>
      </c>
      <c r="V41" s="385" t="n">
        <f aca="false">(V29-U29)^2</f>
        <v>3.72661288048849E-006</v>
      </c>
      <c r="W41" s="385" t="n">
        <f aca="false">(W29-V29)^2</f>
        <v>9.42581610207945E-007</v>
      </c>
      <c r="X41" s="385" t="n">
        <f aca="false">(X29-W29)^2</f>
        <v>2.37026808890464E-007</v>
      </c>
      <c r="Y41" s="385" t="n">
        <f aca="false">(Y29-X29)^2</f>
        <v>5.94303481433954E-008</v>
      </c>
      <c r="Z41" s="385" t="n">
        <f aca="false">(Z29-Y29)^2</f>
        <v>1.48793537335036E-008</v>
      </c>
      <c r="AA41" s="385" t="n">
        <f aca="false">(AA29-Z29)^2</f>
        <v>3.7225630906253E-009</v>
      </c>
      <c r="AB41" s="385" t="n">
        <f aca="false">(AB29-AA29)^2</f>
        <v>9.30981593883925E-010</v>
      </c>
      <c r="AC41" s="385" t="n">
        <f aca="false">(AC29-AB29)^2</f>
        <v>2.32788016076776E-010</v>
      </c>
      <c r="AD41" s="385" t="n">
        <f aca="false">(AD29-AC29)^2</f>
        <v>5.82023321546486E-011</v>
      </c>
      <c r="AE41" s="385" t="n">
        <f aca="false">(AE29-AD29)^2</f>
        <v>1.45512491140336E-011</v>
      </c>
      <c r="AF41" s="385" t="n">
        <f aca="false">(AF29-AE29)^2</f>
        <v>3.63789554168835E-012</v>
      </c>
      <c r="AG41" s="385" t="n">
        <f aca="false">(AG29-AF29)^2</f>
        <v>9.09484293461851E-013</v>
      </c>
    </row>
    <row r="42" customFormat="false" ht="12.75" hidden="false" customHeight="false" outlineLevel="1" collapsed="false">
      <c r="B42" s="412"/>
      <c r="C42" s="412"/>
      <c r="D42" s="412" t="n">
        <f aca="false">C41</f>
        <v>1.99999618531001</v>
      </c>
      <c r="E42" s="412"/>
      <c r="F42" s="412"/>
      <c r="G42" s="412"/>
      <c r="H42" s="412"/>
      <c r="I42" s="412"/>
      <c r="J42" s="412"/>
      <c r="K42" s="412"/>
      <c r="N42" s="385" t="n">
        <f aca="false">(N30-M30)^2</f>
        <v>0.000434027777777778</v>
      </c>
      <c r="O42" s="385" t="n">
        <f aca="false">(O30-N30)^2</f>
        <v>0.000434027777777778</v>
      </c>
      <c r="P42" s="385" t="n">
        <f aca="false">(P30-O30)^2</f>
        <v>0.000277777777777778</v>
      </c>
      <c r="Q42" s="385" t="n">
        <f aca="false">(Q30-P30)^2</f>
        <v>0.000123456790123457</v>
      </c>
      <c r="R42" s="385" t="n">
        <f aca="false">(R30-Q30)^2</f>
        <v>4.2718612499466E-005</v>
      </c>
      <c r="S42" s="385" t="n">
        <f aca="false">(S30-R30)^2</f>
        <v>1.27096698345519E-005</v>
      </c>
      <c r="T42" s="385" t="n">
        <f aca="false">(T30-S30)^2</f>
        <v>3.47748599496851E-006</v>
      </c>
      <c r="U42" s="385" t="n">
        <f aca="false">(U30-T30)^2</f>
        <v>9.10277567098302E-007</v>
      </c>
      <c r="V42" s="385" t="n">
        <f aca="false">(V30-U30)^2</f>
        <v>2.32913305030527E-007</v>
      </c>
      <c r="W42" s="385" t="n">
        <f aca="false">(W30-V30)^2</f>
        <v>5.89113506380008E-008</v>
      </c>
      <c r="X42" s="385" t="n">
        <f aca="false">(X30-W30)^2</f>
        <v>1.48141755556523E-008</v>
      </c>
      <c r="Y42" s="385" t="n">
        <f aca="false">(Y30-X30)^2</f>
        <v>3.71439675896178E-009</v>
      </c>
      <c r="Z42" s="385" t="n">
        <f aca="false">(Z30-Y30)^2</f>
        <v>9.2995960834418E-010</v>
      </c>
      <c r="AA42" s="385" t="n">
        <f aca="false">(AA30-Z30)^2</f>
        <v>2.32660193164084E-010</v>
      </c>
      <c r="AB42" s="385" t="n">
        <f aca="false">(AB30-AA30)^2</f>
        <v>5.81863496177719E-011</v>
      </c>
      <c r="AC42" s="385" t="n">
        <f aca="false">(AC30-AB30)^2</f>
        <v>1.45492510047861E-011</v>
      </c>
      <c r="AD42" s="385" t="n">
        <f aca="false">(AD30-AC30)^2</f>
        <v>3.63764575966515E-012</v>
      </c>
      <c r="AE42" s="385" t="n">
        <f aca="false">(AE30-AD30)^2</f>
        <v>9.09453069627086E-013</v>
      </c>
      <c r="AF42" s="385" t="n">
        <f aca="false">(AF30-AE30)^2</f>
        <v>2.27368471348904E-013</v>
      </c>
      <c r="AG42" s="385" t="n">
        <f aca="false">(AG30-AF30)^2</f>
        <v>5.68427683442608E-014</v>
      </c>
    </row>
    <row r="43" customFormat="false" ht="12.75" hidden="false" customHeight="false" outlineLevel="1" collapsed="false">
      <c r="A43" s="391" t="s">
        <v>191</v>
      </c>
      <c r="B43" s="412"/>
      <c r="C43" s="412"/>
      <c r="D43" s="412"/>
      <c r="E43" s="412" t="n">
        <f aca="false">D42</f>
        <v>1.99999618531001</v>
      </c>
      <c r="F43" s="412"/>
      <c r="G43" s="412"/>
      <c r="H43" s="412"/>
      <c r="I43" s="412"/>
      <c r="J43" s="412"/>
      <c r="K43" s="412"/>
      <c r="N43" s="385" t="n">
        <f aca="false">(N31-M31)^2</f>
        <v>0.000434027777777778</v>
      </c>
      <c r="O43" s="385" t="n">
        <f aca="false">(O31-N31)^2</f>
        <v>0.000434027777777778</v>
      </c>
      <c r="P43" s="385" t="n">
        <f aca="false">(P31-O31)^2</f>
        <v>0.000277777777777778</v>
      </c>
      <c r="Q43" s="385" t="n">
        <f aca="false">(Q31-P31)^2</f>
        <v>0.000123456790123457</v>
      </c>
      <c r="R43" s="385" t="n">
        <f aca="false">(R31-Q31)^2</f>
        <v>4.2718612499466E-005</v>
      </c>
      <c r="S43" s="385" t="n">
        <f aca="false">(S31-R31)^2</f>
        <v>1.27096698345519E-005</v>
      </c>
      <c r="T43" s="385" t="n">
        <f aca="false">(T31-S31)^2</f>
        <v>3.47748599496851E-006</v>
      </c>
      <c r="U43" s="385" t="n">
        <f aca="false">(U31-T31)^2</f>
        <v>9.10277567098302E-007</v>
      </c>
      <c r="V43" s="385" t="n">
        <f aca="false">(V31-U31)^2</f>
        <v>2.32913305030527E-007</v>
      </c>
      <c r="W43" s="385" t="n">
        <f aca="false">(W31-V31)^2</f>
        <v>5.89113506380008E-008</v>
      </c>
      <c r="X43" s="385" t="n">
        <f aca="false">(X31-W31)^2</f>
        <v>1.48141755556523E-008</v>
      </c>
      <c r="Y43" s="385" t="n">
        <f aca="false">(Y31-X31)^2</f>
        <v>3.71439675896178E-009</v>
      </c>
      <c r="Z43" s="385" t="n">
        <f aca="false">(Z31-Y31)^2</f>
        <v>9.2995960834418E-010</v>
      </c>
      <c r="AA43" s="385" t="n">
        <f aca="false">(AA31-Z31)^2</f>
        <v>2.32660193164084E-010</v>
      </c>
      <c r="AB43" s="385" t="n">
        <f aca="false">(AB31-AA31)^2</f>
        <v>5.81863496177719E-011</v>
      </c>
      <c r="AC43" s="385" t="n">
        <f aca="false">(AC31-AB31)^2</f>
        <v>1.45492510047861E-011</v>
      </c>
      <c r="AD43" s="385" t="n">
        <f aca="false">(AD31-AC31)^2</f>
        <v>3.63764575966515E-012</v>
      </c>
      <c r="AE43" s="385" t="n">
        <f aca="false">(AE31-AD31)^2</f>
        <v>9.09453069627086E-013</v>
      </c>
      <c r="AF43" s="385" t="n">
        <f aca="false">(AF31-AE31)^2</f>
        <v>2.27368471348904E-013</v>
      </c>
      <c r="AG43" s="385" t="n">
        <f aca="false">(AG31-AF31)^2</f>
        <v>5.68427683442608E-014</v>
      </c>
    </row>
    <row r="44" customFormat="false" ht="12.75" hidden="false" customHeight="false" outlineLevel="1" collapsed="false">
      <c r="B44" s="412"/>
      <c r="C44" s="412"/>
      <c r="D44" s="412"/>
      <c r="E44" s="412"/>
      <c r="F44" s="412" t="n">
        <f aca="false">E43</f>
        <v>1.99999618531001</v>
      </c>
      <c r="G44" s="412"/>
      <c r="H44" s="412"/>
      <c r="I44" s="412"/>
      <c r="J44" s="412"/>
      <c r="K44" s="412"/>
      <c r="N44" s="385" t="n">
        <f aca="false">(N32-M32)^2</f>
        <v>0.000434027777777778</v>
      </c>
      <c r="O44" s="385" t="n">
        <f aca="false">(O32-N32)^2</f>
        <v>0.000434027777777778</v>
      </c>
      <c r="P44" s="385" t="n">
        <f aca="false">(P32-O32)^2</f>
        <v>0.000277777777777778</v>
      </c>
      <c r="Q44" s="385" t="n">
        <f aca="false">(Q32-P32)^2</f>
        <v>0.000123456790123457</v>
      </c>
      <c r="R44" s="385" t="n">
        <f aca="false">(R32-Q32)^2</f>
        <v>4.2718612499466E-005</v>
      </c>
      <c r="S44" s="385" t="n">
        <f aca="false">(S32-R32)^2</f>
        <v>1.27096698345519E-005</v>
      </c>
      <c r="T44" s="385" t="n">
        <f aca="false">(T32-S32)^2</f>
        <v>3.47748599496851E-006</v>
      </c>
      <c r="U44" s="385" t="n">
        <f aca="false">(U32-T32)^2</f>
        <v>9.10277567098302E-007</v>
      </c>
      <c r="V44" s="385" t="n">
        <f aca="false">(V32-U32)^2</f>
        <v>2.32913305030527E-007</v>
      </c>
      <c r="W44" s="385" t="n">
        <f aca="false">(W32-V32)^2</f>
        <v>5.89113506380008E-008</v>
      </c>
      <c r="X44" s="385" t="n">
        <f aca="false">(X32-W32)^2</f>
        <v>1.48141755556523E-008</v>
      </c>
      <c r="Y44" s="385" t="n">
        <f aca="false">(Y32-X32)^2</f>
        <v>3.71439675896178E-009</v>
      </c>
      <c r="Z44" s="385" t="n">
        <f aca="false">(Z32-Y32)^2</f>
        <v>9.2995960834418E-010</v>
      </c>
      <c r="AA44" s="385" t="n">
        <f aca="false">(AA32-Z32)^2</f>
        <v>2.32660193164084E-010</v>
      </c>
      <c r="AB44" s="385" t="n">
        <f aca="false">(AB32-AA32)^2</f>
        <v>5.81863496177719E-011</v>
      </c>
      <c r="AC44" s="385" t="n">
        <f aca="false">(AC32-AB32)^2</f>
        <v>1.45492510047861E-011</v>
      </c>
      <c r="AD44" s="385" t="n">
        <f aca="false">(AD32-AC32)^2</f>
        <v>3.63764575966515E-012</v>
      </c>
      <c r="AE44" s="385" t="n">
        <f aca="false">(AE32-AD32)^2</f>
        <v>9.09453069627086E-013</v>
      </c>
      <c r="AF44" s="385" t="n">
        <f aca="false">(AF32-AE32)^2</f>
        <v>2.27368471348904E-013</v>
      </c>
      <c r="AG44" s="385" t="n">
        <f aca="false">(AG32-AF32)^2</f>
        <v>5.68427683442608E-014</v>
      </c>
    </row>
    <row r="45" customFormat="false" ht="12.75" hidden="false" customHeight="false" outlineLevel="1" collapsed="false">
      <c r="B45" s="412"/>
      <c r="C45" s="412"/>
      <c r="D45" s="412"/>
      <c r="E45" s="412"/>
      <c r="F45" s="412"/>
      <c r="G45" s="412" t="n">
        <f aca="false">F44</f>
        <v>1.99999618531001</v>
      </c>
      <c r="H45" s="412"/>
      <c r="I45" s="412"/>
      <c r="J45" s="412"/>
      <c r="K45" s="412"/>
      <c r="N45" s="385" t="n">
        <f aca="false">(N33-M33)^2</f>
        <v>0.000434027777777778</v>
      </c>
      <c r="O45" s="385" t="n">
        <f aca="false">(O33-N33)^2</f>
        <v>0.000434027777777778</v>
      </c>
      <c r="P45" s="385" t="n">
        <f aca="false">(P33-O33)^2</f>
        <v>0.000277777777777778</v>
      </c>
      <c r="Q45" s="385" t="n">
        <f aca="false">(Q33-P33)^2</f>
        <v>0.000123456790123457</v>
      </c>
      <c r="R45" s="385" t="n">
        <f aca="false">(R33-Q33)^2</f>
        <v>4.2718612499466E-005</v>
      </c>
      <c r="S45" s="385" t="n">
        <f aca="false">(S33-R33)^2</f>
        <v>1.27096698345519E-005</v>
      </c>
      <c r="T45" s="385" t="n">
        <f aca="false">(T33-S33)^2</f>
        <v>3.47748599496851E-006</v>
      </c>
      <c r="U45" s="385" t="n">
        <f aca="false">(U33-T33)^2</f>
        <v>9.10277567098302E-007</v>
      </c>
      <c r="V45" s="385" t="n">
        <f aca="false">(V33-U33)^2</f>
        <v>2.32913305030527E-007</v>
      </c>
      <c r="W45" s="385" t="n">
        <f aca="false">(W33-V33)^2</f>
        <v>5.89113506380008E-008</v>
      </c>
      <c r="X45" s="385" t="n">
        <f aca="false">(X33-W33)^2</f>
        <v>1.48141755556523E-008</v>
      </c>
      <c r="Y45" s="385" t="n">
        <f aca="false">(Y33-X33)^2</f>
        <v>3.71439675896178E-009</v>
      </c>
      <c r="Z45" s="385" t="n">
        <f aca="false">(Z33-Y33)^2</f>
        <v>9.2995960834418E-010</v>
      </c>
      <c r="AA45" s="385" t="n">
        <f aca="false">(AA33-Z33)^2</f>
        <v>2.32660193164084E-010</v>
      </c>
      <c r="AB45" s="385" t="n">
        <f aca="false">(AB33-AA33)^2</f>
        <v>5.81863496177719E-011</v>
      </c>
      <c r="AC45" s="385" t="n">
        <f aca="false">(AC33-AB33)^2</f>
        <v>1.45492510047861E-011</v>
      </c>
      <c r="AD45" s="385" t="n">
        <f aca="false">(AD33-AC33)^2</f>
        <v>3.63764575966515E-012</v>
      </c>
      <c r="AE45" s="385" t="n">
        <f aca="false">(AE33-AD33)^2</f>
        <v>9.09453069627086E-013</v>
      </c>
      <c r="AF45" s="385" t="n">
        <f aca="false">(AF33-AE33)^2</f>
        <v>2.27368471348904E-013</v>
      </c>
      <c r="AG45" s="385" t="n">
        <f aca="false">(AG33-AF33)^2</f>
        <v>5.68427683442608E-014</v>
      </c>
    </row>
    <row r="46" customFormat="false" ht="12.75" hidden="false" customHeight="false" outlineLevel="1" collapsed="false">
      <c r="B46" s="412"/>
      <c r="C46" s="412"/>
      <c r="D46" s="412"/>
      <c r="E46" s="412"/>
      <c r="F46" s="412"/>
      <c r="G46" s="412"/>
      <c r="H46" s="412" t="n">
        <f aca="false">G45</f>
        <v>1.99999618531001</v>
      </c>
      <c r="I46" s="412"/>
      <c r="J46" s="412"/>
      <c r="K46" s="412"/>
      <c r="N46" s="385" t="n">
        <f aca="false">(N34-M34)^2</f>
        <v>0.000434027777777778</v>
      </c>
      <c r="O46" s="385" t="n">
        <f aca="false">(O34-N34)^2</f>
        <v>0.000434027777777778</v>
      </c>
      <c r="P46" s="385" t="n">
        <f aca="false">(P34-O34)^2</f>
        <v>0.000277777777777778</v>
      </c>
      <c r="Q46" s="385" t="n">
        <f aca="false">(Q34-P34)^2</f>
        <v>0.000123456790123457</v>
      </c>
      <c r="R46" s="385" t="n">
        <f aca="false">(R34-Q34)^2</f>
        <v>4.2718612499466E-005</v>
      </c>
      <c r="S46" s="385" t="n">
        <f aca="false">(S34-R34)^2</f>
        <v>1.27096698345519E-005</v>
      </c>
      <c r="T46" s="385" t="n">
        <f aca="false">(T34-S34)^2</f>
        <v>3.47748599496851E-006</v>
      </c>
      <c r="U46" s="385" t="n">
        <f aca="false">(U34-T34)^2</f>
        <v>9.10277567098302E-007</v>
      </c>
      <c r="V46" s="385" t="n">
        <f aca="false">(V34-U34)^2</f>
        <v>2.32913305030527E-007</v>
      </c>
      <c r="W46" s="385" t="n">
        <f aca="false">(W34-V34)^2</f>
        <v>5.89113506380008E-008</v>
      </c>
      <c r="X46" s="385" t="n">
        <f aca="false">(X34-W34)^2</f>
        <v>1.48141755556523E-008</v>
      </c>
      <c r="Y46" s="385" t="n">
        <f aca="false">(Y34-X34)^2</f>
        <v>3.71439675896178E-009</v>
      </c>
      <c r="Z46" s="385" t="n">
        <f aca="false">(Z34-Y34)^2</f>
        <v>9.2995960834418E-010</v>
      </c>
      <c r="AA46" s="385" t="n">
        <f aca="false">(AA34-Z34)^2</f>
        <v>2.32660193164084E-010</v>
      </c>
      <c r="AB46" s="385" t="n">
        <f aca="false">(AB34-AA34)^2</f>
        <v>5.81863496177719E-011</v>
      </c>
      <c r="AC46" s="385" t="n">
        <f aca="false">(AC34-AB34)^2</f>
        <v>1.45492510047861E-011</v>
      </c>
      <c r="AD46" s="385" t="n">
        <f aca="false">(AD34-AC34)^2</f>
        <v>3.63764575966515E-012</v>
      </c>
      <c r="AE46" s="385" t="n">
        <f aca="false">(AE34-AD34)^2</f>
        <v>9.09453069627086E-013</v>
      </c>
      <c r="AF46" s="385" t="n">
        <f aca="false">(AF34-AE34)^2</f>
        <v>2.27368471348904E-013</v>
      </c>
      <c r="AG46" s="385" t="n">
        <f aca="false">(AG34-AF34)^2</f>
        <v>5.68427683442608E-014</v>
      </c>
    </row>
    <row r="47" customFormat="false" ht="12.75" hidden="false" customHeight="false" outlineLevel="1" collapsed="false">
      <c r="B47" s="412"/>
      <c r="C47" s="412"/>
      <c r="D47" s="412"/>
      <c r="E47" s="412"/>
      <c r="F47" s="412"/>
      <c r="G47" s="412"/>
      <c r="H47" s="412"/>
      <c r="I47" s="412" t="n">
        <f aca="false">H46</f>
        <v>1.99999618531001</v>
      </c>
      <c r="J47" s="412"/>
      <c r="K47" s="412"/>
      <c r="N47" s="385" t="n">
        <f aca="false">(N35-M35)^2</f>
        <v>0.000434027777777778</v>
      </c>
      <c r="O47" s="385" t="n">
        <f aca="false">(O35-N35)^2</f>
        <v>0.000434027777777778</v>
      </c>
      <c r="P47" s="385" t="n">
        <f aca="false">(P35-O35)^2</f>
        <v>0.000277777777777778</v>
      </c>
      <c r="Q47" s="385" t="n">
        <f aca="false">(Q35-P35)^2</f>
        <v>0.000123456790123457</v>
      </c>
      <c r="R47" s="385" t="n">
        <f aca="false">(R35-Q35)^2</f>
        <v>4.2718612499466E-005</v>
      </c>
      <c r="S47" s="385" t="n">
        <f aca="false">(S35-R35)^2</f>
        <v>1.27096698345519E-005</v>
      </c>
      <c r="T47" s="385" t="n">
        <f aca="false">(T35-S35)^2</f>
        <v>3.47748599496851E-006</v>
      </c>
      <c r="U47" s="385" t="n">
        <f aca="false">(U35-T35)^2</f>
        <v>9.10277567098302E-007</v>
      </c>
      <c r="V47" s="385" t="n">
        <f aca="false">(V35-U35)^2</f>
        <v>2.32913305030527E-007</v>
      </c>
      <c r="W47" s="385" t="n">
        <f aca="false">(W35-V35)^2</f>
        <v>5.89113506380008E-008</v>
      </c>
      <c r="X47" s="385" t="n">
        <f aca="false">(X35-W35)^2</f>
        <v>1.48141755556523E-008</v>
      </c>
      <c r="Y47" s="385" t="n">
        <f aca="false">(Y35-X35)^2</f>
        <v>3.71439675896178E-009</v>
      </c>
      <c r="Z47" s="385" t="n">
        <f aca="false">(Z35-Y35)^2</f>
        <v>9.2995960834418E-010</v>
      </c>
      <c r="AA47" s="385" t="n">
        <f aca="false">(AA35-Z35)^2</f>
        <v>2.32660193164084E-010</v>
      </c>
      <c r="AB47" s="385" t="n">
        <f aca="false">(AB35-AA35)^2</f>
        <v>5.81863496177719E-011</v>
      </c>
      <c r="AC47" s="385" t="n">
        <f aca="false">(AC35-AB35)^2</f>
        <v>1.45492510047861E-011</v>
      </c>
      <c r="AD47" s="385" t="n">
        <f aca="false">(AD35-AC35)^2</f>
        <v>3.63764575966515E-012</v>
      </c>
      <c r="AE47" s="385" t="n">
        <f aca="false">(AE35-AD35)^2</f>
        <v>9.09453069627086E-013</v>
      </c>
      <c r="AF47" s="385" t="n">
        <f aca="false">(AF35-AE35)^2</f>
        <v>2.27368471348904E-013</v>
      </c>
      <c r="AG47" s="385" t="n">
        <f aca="false">(AG35-AF35)^2</f>
        <v>5.68427683442608E-014</v>
      </c>
    </row>
    <row r="48" customFormat="false" ht="12.75" hidden="false" customHeight="false" outlineLevel="1" collapsed="false">
      <c r="B48" s="412"/>
      <c r="C48" s="412"/>
      <c r="D48" s="412"/>
      <c r="E48" s="412"/>
      <c r="F48" s="412"/>
      <c r="G48" s="412"/>
      <c r="H48" s="412"/>
      <c r="I48" s="412"/>
      <c r="J48" s="412" t="n">
        <f aca="false">I47</f>
        <v>1.99999618531001</v>
      </c>
      <c r="K48" s="412"/>
      <c r="N48" s="385" t="n">
        <f aca="false">(N36-M36)^2</f>
        <v>0.000434027777777778</v>
      </c>
      <c r="O48" s="385" t="n">
        <f aca="false">(O36-N36)^2</f>
        <v>0.000434027777777778</v>
      </c>
      <c r="P48" s="385" t="n">
        <f aca="false">(P36-O36)^2</f>
        <v>0.000277777777777778</v>
      </c>
      <c r="Q48" s="385" t="n">
        <f aca="false">(Q36-P36)^2</f>
        <v>0.000123456790123457</v>
      </c>
      <c r="R48" s="385" t="n">
        <f aca="false">(R36-Q36)^2</f>
        <v>4.2718612499466E-005</v>
      </c>
      <c r="S48" s="385" t="n">
        <f aca="false">(S36-R36)^2</f>
        <v>1.27096698345519E-005</v>
      </c>
      <c r="T48" s="385" t="n">
        <f aca="false">(T36-S36)^2</f>
        <v>3.47748599496851E-006</v>
      </c>
      <c r="U48" s="385" t="n">
        <f aca="false">(U36-T36)^2</f>
        <v>9.10277567098302E-007</v>
      </c>
      <c r="V48" s="385" t="n">
        <f aca="false">(V36-U36)^2</f>
        <v>2.32913305030527E-007</v>
      </c>
      <c r="W48" s="385" t="n">
        <f aca="false">(W36-V36)^2</f>
        <v>5.89113506380008E-008</v>
      </c>
      <c r="X48" s="385" t="n">
        <f aca="false">(X36-W36)^2</f>
        <v>1.48141755556523E-008</v>
      </c>
      <c r="Y48" s="385" t="n">
        <f aca="false">(Y36-X36)^2</f>
        <v>3.71439675896178E-009</v>
      </c>
      <c r="Z48" s="385" t="n">
        <f aca="false">(Z36-Y36)^2</f>
        <v>9.2995960834418E-010</v>
      </c>
      <c r="AA48" s="385" t="n">
        <f aca="false">(AA36-Z36)^2</f>
        <v>2.32660193164084E-010</v>
      </c>
      <c r="AB48" s="385" t="n">
        <f aca="false">(AB36-AA36)^2</f>
        <v>5.81863496177719E-011</v>
      </c>
      <c r="AC48" s="385" t="n">
        <f aca="false">(AC36-AB36)^2</f>
        <v>1.45492510047861E-011</v>
      </c>
      <c r="AD48" s="385" t="n">
        <f aca="false">(AD36-AC36)^2</f>
        <v>3.63764575966515E-012</v>
      </c>
      <c r="AE48" s="385" t="n">
        <f aca="false">(AE36-AD36)^2</f>
        <v>9.09453069627086E-013</v>
      </c>
      <c r="AF48" s="385" t="n">
        <f aca="false">(AF36-AE36)^2</f>
        <v>2.27368471348904E-013</v>
      </c>
      <c r="AG48" s="385" t="n">
        <f aca="false">(AG36-AF36)^2</f>
        <v>5.68427683442608E-014</v>
      </c>
    </row>
    <row r="49" customFormat="false" ht="12.75" hidden="false" customHeight="false" outlineLevel="1" collapsed="false">
      <c r="B49" s="412"/>
      <c r="C49" s="412"/>
      <c r="D49" s="412"/>
      <c r="E49" s="412"/>
      <c r="F49" s="412"/>
      <c r="G49" s="412"/>
      <c r="H49" s="412"/>
      <c r="I49" s="412"/>
      <c r="J49" s="412"/>
      <c r="K49" s="412" t="n">
        <f aca="false">J48</f>
        <v>1.99999618531001</v>
      </c>
      <c r="N49" s="385" t="n">
        <f aca="false">(N37-M37)^2</f>
        <v>0.000434027777777778</v>
      </c>
      <c r="O49" s="385" t="n">
        <f aca="false">(O37-N37)^2</f>
        <v>0.000434027777777778</v>
      </c>
      <c r="P49" s="385" t="n">
        <f aca="false">(P37-O37)^2</f>
        <v>0.000277777777777778</v>
      </c>
      <c r="Q49" s="385" t="n">
        <f aca="false">(Q37-P37)^2</f>
        <v>0.000123456790123457</v>
      </c>
      <c r="R49" s="385" t="n">
        <f aca="false">(R37-Q37)^2</f>
        <v>4.2718612499466E-005</v>
      </c>
      <c r="S49" s="385" t="n">
        <f aca="false">(S37-R37)^2</f>
        <v>1.27096698345519E-005</v>
      </c>
      <c r="T49" s="385" t="n">
        <f aca="false">(T37-S37)^2</f>
        <v>3.47748599496851E-006</v>
      </c>
      <c r="U49" s="385" t="n">
        <f aca="false">(U37-T37)^2</f>
        <v>9.10277567098302E-007</v>
      </c>
      <c r="V49" s="385" t="n">
        <f aca="false">(V37-U37)^2</f>
        <v>2.32913305030527E-007</v>
      </c>
      <c r="W49" s="385" t="n">
        <f aca="false">(W37-V37)^2</f>
        <v>5.89113506380008E-008</v>
      </c>
      <c r="X49" s="385" t="n">
        <f aca="false">(X37-W37)^2</f>
        <v>1.48141755556523E-008</v>
      </c>
      <c r="Y49" s="385" t="n">
        <f aca="false">(Y37-X37)^2</f>
        <v>3.71439675896178E-009</v>
      </c>
      <c r="Z49" s="385" t="n">
        <f aca="false">(Z37-Y37)^2</f>
        <v>9.2995960834418E-010</v>
      </c>
      <c r="AA49" s="385" t="n">
        <f aca="false">(AA37-Z37)^2</f>
        <v>2.32660193164084E-010</v>
      </c>
      <c r="AB49" s="385" t="n">
        <f aca="false">(AB37-AA37)^2</f>
        <v>5.81863496177719E-011</v>
      </c>
      <c r="AC49" s="385" t="n">
        <f aca="false">(AC37-AB37)^2</f>
        <v>1.45492510047861E-011</v>
      </c>
      <c r="AD49" s="385" t="n">
        <f aca="false">(AD37-AC37)^2</f>
        <v>3.63764575966515E-012</v>
      </c>
      <c r="AE49" s="385" t="n">
        <f aca="false">(AE37-AD37)^2</f>
        <v>9.09453069627086E-013</v>
      </c>
      <c r="AF49" s="385" t="n">
        <f aca="false">(AF37-AE37)^2</f>
        <v>2.27368471348904E-013</v>
      </c>
      <c r="AG49" s="385" t="n">
        <f aca="false">(AG37-AF37)^2</f>
        <v>5.68427683442608E-014</v>
      </c>
    </row>
    <row r="50" customFormat="false" ht="12.75" hidden="false" customHeight="false" outlineLevel="1" collapsed="false"/>
    <row r="51" customFormat="false" ht="12.75" hidden="false" customHeight="false" outlineLevel="1" collapsed="false">
      <c r="B51" s="412" t="n">
        <f aca="false" t="array" ref="B51:K60">B5:K14-B40:K49</f>
        <v>-0.99999618531001</v>
      </c>
      <c r="C51" s="395" t="n">
        <v>1</v>
      </c>
      <c r="D51" s="395" t="n">
        <v>0</v>
      </c>
      <c r="E51" s="395" t="n">
        <v>0</v>
      </c>
      <c r="F51" s="395" t="n">
        <v>0</v>
      </c>
      <c r="G51" s="395" t="n">
        <v>0</v>
      </c>
      <c r="H51" s="395" t="n">
        <v>0</v>
      </c>
      <c r="I51" s="395" t="n">
        <v>0</v>
      </c>
      <c r="J51" s="395" t="n">
        <v>0</v>
      </c>
      <c r="K51" s="395" t="n">
        <v>0</v>
      </c>
    </row>
    <row r="52" customFormat="false" ht="12.75" hidden="false" customHeight="false" outlineLevel="1" collapsed="false">
      <c r="B52" s="395" t="n">
        <v>1</v>
      </c>
      <c r="C52" s="412" t="n">
        <v>-0.99999618531001</v>
      </c>
      <c r="D52" s="395" t="n">
        <v>0</v>
      </c>
      <c r="E52" s="395" t="n">
        <v>0</v>
      </c>
      <c r="F52" s="395" t="n">
        <v>0</v>
      </c>
      <c r="G52" s="395" t="n">
        <v>0</v>
      </c>
      <c r="H52" s="395" t="n">
        <v>0</v>
      </c>
      <c r="I52" s="395" t="n">
        <v>0</v>
      </c>
      <c r="J52" s="395" t="n">
        <v>0</v>
      </c>
      <c r="K52" s="395" t="n">
        <v>0</v>
      </c>
    </row>
    <row r="53" customFormat="false" ht="12.75" hidden="false" customHeight="false" outlineLevel="1" collapsed="false">
      <c r="B53" s="395" t="n">
        <v>0</v>
      </c>
      <c r="C53" s="395" t="n">
        <v>0</v>
      </c>
      <c r="D53" s="412" t="n">
        <v>-0.99999618531001</v>
      </c>
      <c r="E53" s="395" t="n">
        <v>0</v>
      </c>
      <c r="F53" s="395" t="n">
        <v>0</v>
      </c>
      <c r="G53" s="395" t="n">
        <v>0</v>
      </c>
      <c r="H53" s="395" t="n">
        <v>0</v>
      </c>
      <c r="I53" s="395" t="n">
        <v>0</v>
      </c>
      <c r="J53" s="395" t="n">
        <v>0</v>
      </c>
      <c r="K53" s="395" t="n">
        <v>0</v>
      </c>
    </row>
    <row r="54" customFormat="false" ht="12.75" hidden="false" customHeight="false" outlineLevel="1" collapsed="false">
      <c r="A54" s="391" t="s">
        <v>192</v>
      </c>
      <c r="B54" s="395" t="n">
        <v>0</v>
      </c>
      <c r="C54" s="395" t="n">
        <v>0</v>
      </c>
      <c r="D54" s="395" t="n">
        <v>0</v>
      </c>
      <c r="E54" s="415" t="n">
        <v>-0.99999618531001</v>
      </c>
      <c r="F54" s="395" t="n">
        <v>0</v>
      </c>
      <c r="G54" s="395" t="n">
        <v>0</v>
      </c>
      <c r="H54" s="395" t="n">
        <v>0</v>
      </c>
      <c r="I54" s="395" t="n">
        <v>0</v>
      </c>
      <c r="J54" s="395" t="n">
        <v>0</v>
      </c>
      <c r="K54" s="395" t="n">
        <v>0</v>
      </c>
    </row>
    <row r="55" customFormat="false" ht="12.75" hidden="false" customHeight="false" outlineLevel="1" collapsed="false">
      <c r="B55" s="395" t="n">
        <v>0</v>
      </c>
      <c r="C55" s="395" t="n">
        <v>0</v>
      </c>
      <c r="D55" s="395" t="n">
        <v>0</v>
      </c>
      <c r="E55" s="395" t="n">
        <v>0</v>
      </c>
      <c r="F55" s="415" t="n">
        <v>-0.99999618531001</v>
      </c>
      <c r="G55" s="395" t="n">
        <v>0</v>
      </c>
      <c r="H55" s="395" t="n">
        <v>0</v>
      </c>
      <c r="I55" s="395" t="n">
        <v>0</v>
      </c>
      <c r="J55" s="395" t="n">
        <v>0</v>
      </c>
      <c r="K55" s="395" t="n">
        <v>0</v>
      </c>
    </row>
    <row r="56" customFormat="false" ht="12.75" hidden="false" customHeight="false" outlineLevel="1" collapsed="false">
      <c r="B56" s="395" t="n">
        <v>0</v>
      </c>
      <c r="C56" s="395" t="n">
        <v>0</v>
      </c>
      <c r="D56" s="395" t="n">
        <v>0</v>
      </c>
      <c r="E56" s="395" t="n">
        <v>0</v>
      </c>
      <c r="F56" s="395" t="n">
        <v>0</v>
      </c>
      <c r="G56" s="415" t="n">
        <v>-0.99999618531001</v>
      </c>
      <c r="H56" s="395" t="n">
        <v>0</v>
      </c>
      <c r="I56" s="395" t="n">
        <v>0</v>
      </c>
      <c r="J56" s="395" t="n">
        <v>0</v>
      </c>
      <c r="K56" s="395" t="n">
        <v>0</v>
      </c>
    </row>
    <row r="57" customFormat="false" ht="12.75" hidden="false" customHeight="false" outlineLevel="1" collapsed="false">
      <c r="B57" s="395" t="n">
        <v>0</v>
      </c>
      <c r="C57" s="395" t="n">
        <v>0</v>
      </c>
      <c r="D57" s="395" t="n">
        <v>0</v>
      </c>
      <c r="E57" s="395" t="n">
        <v>0</v>
      </c>
      <c r="F57" s="395" t="n">
        <v>0</v>
      </c>
      <c r="G57" s="395" t="n">
        <v>0</v>
      </c>
      <c r="H57" s="415" t="n">
        <v>-0.99999618531001</v>
      </c>
      <c r="I57" s="395" t="n">
        <v>0</v>
      </c>
      <c r="J57" s="395" t="n">
        <v>0</v>
      </c>
      <c r="K57" s="395" t="n">
        <v>0</v>
      </c>
    </row>
    <row r="58" customFormat="false" ht="12.75" hidden="false" customHeight="false" outlineLevel="1" collapsed="false">
      <c r="B58" s="395" t="n">
        <v>0</v>
      </c>
      <c r="C58" s="395" t="n">
        <v>0</v>
      </c>
      <c r="D58" s="395" t="n">
        <v>0</v>
      </c>
      <c r="E58" s="395" t="n">
        <v>0</v>
      </c>
      <c r="F58" s="395" t="n">
        <v>0</v>
      </c>
      <c r="G58" s="395" t="n">
        <v>0</v>
      </c>
      <c r="H58" s="395" t="n">
        <v>0</v>
      </c>
      <c r="I58" s="412" t="n">
        <v>-0.99999618531001</v>
      </c>
      <c r="J58" s="395" t="n">
        <v>0</v>
      </c>
      <c r="K58" s="395" t="n">
        <v>0</v>
      </c>
    </row>
    <row r="59" customFormat="false" ht="12.75" hidden="false" customHeight="false" outlineLevel="1" collapsed="false">
      <c r="B59" s="395" t="n">
        <v>0</v>
      </c>
      <c r="C59" s="395" t="n">
        <v>0</v>
      </c>
      <c r="D59" s="395" t="n">
        <v>0</v>
      </c>
      <c r="E59" s="395" t="n">
        <v>0</v>
      </c>
      <c r="F59" s="395" t="n">
        <v>0</v>
      </c>
      <c r="G59" s="395" t="n">
        <v>0</v>
      </c>
      <c r="H59" s="395" t="n">
        <v>0</v>
      </c>
      <c r="I59" s="395" t="n">
        <v>0</v>
      </c>
      <c r="J59" s="412" t="n">
        <v>-0.99999618531001</v>
      </c>
      <c r="K59" s="395" t="n">
        <v>0</v>
      </c>
    </row>
    <row r="60" customFormat="false" ht="12.75" hidden="false" customHeight="false" outlineLevel="1" collapsed="false">
      <c r="B60" s="395" t="n">
        <v>0</v>
      </c>
      <c r="C60" s="395" t="n">
        <v>0</v>
      </c>
      <c r="D60" s="395" t="n">
        <v>0</v>
      </c>
      <c r="E60" s="395" t="n">
        <v>0</v>
      </c>
      <c r="F60" s="395" t="n">
        <v>0</v>
      </c>
      <c r="G60" s="395" t="n">
        <v>0</v>
      </c>
      <c r="H60" s="395" t="n">
        <v>0</v>
      </c>
      <c r="I60" s="395" t="n">
        <v>0</v>
      </c>
      <c r="J60" s="395" t="n">
        <v>0</v>
      </c>
      <c r="K60" s="412" t="n">
        <v>-0.99999618531001</v>
      </c>
    </row>
    <row r="61" customFormat="false" ht="12.75" hidden="false" customHeight="false" outlineLevel="1" collapsed="false"/>
    <row r="62" customFormat="false" ht="12.75" hidden="false" customHeight="false" outlineLevel="1" collapsed="false">
      <c r="A62" s="385" t="s">
        <v>193</v>
      </c>
      <c r="B62" s="412" t="n">
        <f aca="false" t="array" ref="B62:K62">MMULT(B51:K60,AG5:AG14)</f>
        <v>7.62937997933477E-006</v>
      </c>
      <c r="C62" s="412" t="n">
        <v>7.62937997933477E-006</v>
      </c>
      <c r="D62" s="412" t="n">
        <v>7.62937997933477E-006</v>
      </c>
      <c r="E62" s="412" t="n">
        <v>7.62937997933477E-006</v>
      </c>
      <c r="F62" s="412" t="n">
        <v>7.62937997933477E-006</v>
      </c>
      <c r="G62" s="412" t="n">
        <v>7.62937997933477E-006</v>
      </c>
      <c r="H62" s="412" t="n">
        <v>7.62937997933477E-006</v>
      </c>
      <c r="I62" s="412" t="n">
        <v>7.62937997933477E-006</v>
      </c>
      <c r="J62" s="412" t="n">
        <v>7.62937997933477E-006</v>
      </c>
      <c r="K62" s="412" t="n">
        <v>7.62937997933477E-006</v>
      </c>
    </row>
    <row r="63" customFormat="false" ht="12.75" hidden="false" customHeight="false" outlineLevel="1" collapsed="false"/>
    <row r="64" customFormat="false" ht="12.75" hidden="false" customHeight="false" outlineLevel="1" collapsed="false"/>
    <row r="65" customFormat="false" ht="12.75" hidden="false" customHeight="false" outlineLevel="1" collapsed="false"/>
    <row r="66" customFormat="false" ht="12.75" hidden="false" customHeight="false" outlineLevel="1" collapsed="false"/>
    <row r="67" customFormat="false" ht="12.75" hidden="false" customHeight="false" outlineLevel="1" collapsed="false"/>
    <row r="68" customFormat="false" ht="12.75" hidden="false" customHeight="false" outlineLevel="1" collapsed="false"/>
    <row r="69" customFormat="false" ht="12.75" hidden="false" customHeight="false" outlineLevel="1" collapsed="false"/>
    <row r="70" customFormat="false" ht="12.75" hidden="false" customHeight="false" outlineLevel="1" collapsed="false"/>
    <row r="71" customFormat="false" ht="12.75" hidden="false" customHeight="false" outlineLevel="1" collapsed="false"/>
  </sheetData>
  <sheetProtection sheet="true" objects="true" scenarios="true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2010-03-11T05:32:55Z</dcterms:created>
  <dc:creator>K Goepel</dc:creator>
  <dc:description/>
  <dc:language>en-SG</dc:language>
  <cp:lastModifiedBy/>
  <cp:lastPrinted>2018-09-17T03:54:00Z</cp:lastPrinted>
  <dcterms:modified xsi:type="dcterms:W3CDTF">2022-07-08T16:39:53Z</dcterms:modified>
  <cp:revision>8</cp:revision>
  <dc:subject>Analytic Hierarchy Process</dc:subject>
  <dc:title>AHP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