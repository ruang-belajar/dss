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Criteria" sheetId="1" r:id="rId1"/>
    <sheet name="C1" sheetId="2" r:id="rId2"/>
    <sheet name="C2" sheetId="3" r:id="rId3"/>
    <sheet name="C3" sheetId="4" r:id="rId4"/>
    <sheet name="Resul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<sst xmlns="http://schemas.openxmlformats.org/spreadsheetml/2006/main" count="55" uniqueCount="22">
  <si>
    <t>1. Comparison Matrix</t>
  </si>
  <si>
    <t>n</t>
  </si>
  <si>
    <t>C1</t>
  </si>
  <si>
    <t>Harga</t>
  </si>
  <si>
    <t>C2</t>
  </si>
  <si>
    <t>Kualitas</t>
  </si>
  <si>
    <t>C3</t>
  </si>
  <si>
    <t>Pengiriman</t>
  </si>
  <si>
    <t>2. Normalize</t>
  </si>
  <si>
    <t>Eigen</t>
  </si>
  <si>
    <t>3. Lamda Max</t>
  </si>
  <si>
    <t>4. CI</t>
  </si>
  <si>
    <t>--&gt; &lt; 1 benar</t>
  </si>
  <si>
    <t>5. CR = CI/IR</t>
  </si>
  <si>
    <t>Random Index</t>
  </si>
  <si>
    <t>P1</t>
  </si>
  <si>
    <t>Ani</t>
  </si>
  <si>
    <t>P2</t>
  </si>
  <si>
    <t>Budi</t>
  </si>
  <si>
    <t>P3</t>
  </si>
  <si>
    <t>Charlie</t>
  </si>
  <si>
    <t>Kandidat terbaik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</si>
</sst>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0_ "/>
  </numFmts>
  <fonts count="25">
    <font>
      <sz val="11"/>
      <color theme="1"/>
      <name val="Calibri"/>
      <charset val="134"/>
      <scheme val="minor"/>
    </font>
    <font>
      <sz val="11"/>
      <color theme="0" tint="-0.5"/>
      <name val="Calibri"/>
      <charset val="134"/>
      <scheme val="minor"/>
    </font>
    <font>
      <b/>
      <sz val="10.5"/>
      <color rgb="FF0A0A0A"/>
      <name val="Arial Unicode MS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Fill="1"/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0" fillId="3" borderId="0" xfId="0" applyFill="1"/>
    <xf numFmtId="178" fontId="0" fillId="0" borderId="0" xfId="0" applyNumberFormat="1"/>
    <xf numFmtId="0" fontId="5" fillId="0" borderId="0" xfId="0" applyNumberFormat="1" applyFont="1"/>
    <xf numFmtId="178" fontId="5" fillId="0" borderId="0" xfId="0" applyNumberFormat="1" applyFont="1"/>
    <xf numFmtId="0" fontId="0" fillId="0" borderId="0" xfId="0" applyNumberFormat="1"/>
    <xf numFmtId="0" fontId="0" fillId="0" borderId="0" xfId="0" applyFont="1" applyFill="1" applyAlignment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top"/>
    </xf>
    <xf numFmtId="179" fontId="0" fillId="0" borderId="0" xfId="0" applyNumberFormat="1" applyFont="1" applyFill="1" applyAlignment="1"/>
    <xf numFmtId="179" fontId="3" fillId="0" borderId="0" xfId="0" applyNumberFormat="1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H34"/>
  <sheetViews>
    <sheetView workbookViewId="0">
      <selection activeCell="F10" sqref="F10"/>
    </sheetView>
  </sheetViews>
  <sheetFormatPr defaultColWidth="9" defaultRowHeight="15" outlineLevelCol="7"/>
  <cols>
    <col min="1" max="1" width="7.57142857142857" customWidth="1"/>
    <col min="2" max="2" width="12.8571428571429"/>
    <col min="3" max="4" width="14"/>
    <col min="5" max="5" width="14.2857142857143"/>
    <col min="6" max="6" width="14"/>
    <col min="7" max="8" width="12.8571428571429"/>
    <col min="10" max="11" width="12.8571428571429"/>
  </cols>
  <sheetData>
    <row r="1" spans="1:8">
      <c r="A1" s="4" t="s">
        <v>0</v>
      </c>
      <c r="G1" t="s">
        <v>1</v>
      </c>
      <c r="H1" s="9">
        <v>3</v>
      </c>
    </row>
    <row r="2" spans="3:5">
      <c r="C2" s="7" t="str">
        <f>B3</f>
        <v>Harga</v>
      </c>
      <c r="D2" s="7" t="str">
        <f>B4</f>
        <v>Kualitas</v>
      </c>
      <c r="E2" s="7" t="str">
        <f>B5</f>
        <v>Pengiriman</v>
      </c>
    </row>
    <row r="3" spans="1:5">
      <c r="A3" t="s">
        <v>2</v>
      </c>
      <c r="B3" s="17" t="s">
        <v>3</v>
      </c>
      <c r="C3">
        <v>1</v>
      </c>
      <c r="D3">
        <f>1/C4</f>
        <v>0.333333333333333</v>
      </c>
      <c r="E3">
        <f>1/C5</f>
        <v>3</v>
      </c>
    </row>
    <row r="4" spans="1:5">
      <c r="A4" t="s">
        <v>4</v>
      </c>
      <c r="B4" s="17" t="s">
        <v>5</v>
      </c>
      <c r="C4" s="9">
        <v>3</v>
      </c>
      <c r="D4">
        <v>1</v>
      </c>
      <c r="E4" s="10">
        <f>1/D5</f>
        <v>5</v>
      </c>
    </row>
    <row r="5" spans="1:5">
      <c r="A5" t="s">
        <v>6</v>
      </c>
      <c r="B5" s="17" t="s">
        <v>7</v>
      </c>
      <c r="C5" s="9">
        <f>1/3</f>
        <v>0.333333333333333</v>
      </c>
      <c r="D5" s="9">
        <f>1/5</f>
        <v>0.2</v>
      </c>
      <c r="E5">
        <v>1</v>
      </c>
    </row>
    <row r="6" spans="3:8">
      <c r="C6" s="11">
        <f>SUM(C3:C5)</f>
        <v>4.33333333333333</v>
      </c>
      <c r="D6" s="11">
        <f>SUM(D3:D5)</f>
        <v>1.53333333333333</v>
      </c>
      <c r="E6" s="12">
        <f>SUM(E3:E5)</f>
        <v>9</v>
      </c>
      <c r="H6" s="13"/>
    </row>
    <row r="7" spans="3:8">
      <c r="C7" s="11"/>
      <c r="D7" s="11"/>
      <c r="E7" s="11"/>
      <c r="H7" s="13"/>
    </row>
    <row r="8" spans="1:8">
      <c r="A8" s="4" t="s">
        <v>8</v>
      </c>
      <c r="H8" s="13"/>
    </row>
    <row r="9" spans="3:8">
      <c r="C9" s="7" t="str">
        <f>C2</f>
        <v>Harga</v>
      </c>
      <c r="D9" s="7" t="str">
        <f>D2</f>
        <v>Kualitas</v>
      </c>
      <c r="E9" s="7" t="str">
        <f>E2</f>
        <v>Pengiriman</v>
      </c>
      <c r="F9" t="s">
        <v>9</v>
      </c>
      <c r="H9" s="13"/>
    </row>
    <row r="10" spans="2:8">
      <c r="B10" s="7" t="str">
        <f>B3</f>
        <v>Harga</v>
      </c>
      <c r="C10" s="18">
        <f>C3/C$6</f>
        <v>0.230769230769231</v>
      </c>
      <c r="D10" s="18">
        <f>D3/D$6</f>
        <v>0.217391304347826</v>
      </c>
      <c r="E10" s="18">
        <f>E3/E$6</f>
        <v>0.333333333333333</v>
      </c>
      <c r="F10" s="19">
        <f>AVERAGE(C10:E10)</f>
        <v>0.26049795615013</v>
      </c>
      <c r="H10" s="13"/>
    </row>
    <row r="11" spans="2:8">
      <c r="B11" s="7" t="str">
        <f>B4</f>
        <v>Kualitas</v>
      </c>
      <c r="C11" s="18">
        <f>C4/C$6</f>
        <v>0.692307692307692</v>
      </c>
      <c r="D11" s="18">
        <f>D4/D$6</f>
        <v>0.652173913043478</v>
      </c>
      <c r="E11" s="18">
        <f>E4/E$6</f>
        <v>0.555555555555556</v>
      </c>
      <c r="F11" s="19">
        <f>AVERAGE(C11:E11)</f>
        <v>0.633345720302242</v>
      </c>
      <c r="H11" s="13"/>
    </row>
    <row r="12" spans="2:8">
      <c r="B12" s="7" t="str">
        <f>B5</f>
        <v>Pengiriman</v>
      </c>
      <c r="C12" s="18">
        <f>C5/C$6</f>
        <v>0.0769230769230769</v>
      </c>
      <c r="D12" s="18">
        <f>D5/D$6</f>
        <v>0.130434782608696</v>
      </c>
      <c r="E12" s="18">
        <f>E5/E$6</f>
        <v>0.111111111111111</v>
      </c>
      <c r="F12" s="19">
        <f>AVERAGE(C12:E12)</f>
        <v>0.106156323547628</v>
      </c>
      <c r="H12" s="13"/>
    </row>
    <row r="13" spans="3:8">
      <c r="C13" s="11"/>
      <c r="D13" s="11"/>
      <c r="E13" s="11"/>
      <c r="H13" s="13"/>
    </row>
    <row r="14" spans="1:8">
      <c r="A14" t="s">
        <v>10</v>
      </c>
      <c r="C14" s="11"/>
      <c r="D14" s="11"/>
      <c r="E14" s="11"/>
      <c r="H14" s="13"/>
    </row>
    <row r="15" spans="2:8">
      <c r="B15" s="4">
        <f>C6*F10+D6*F11+E6*F12</f>
        <v>3.05536149304265</v>
      </c>
      <c r="C15" s="11"/>
      <c r="D15" s="11"/>
      <c r="E15" s="11"/>
      <c r="H15" s="13"/>
    </row>
    <row r="17" spans="1:1">
      <c r="A17" t="s">
        <v>11</v>
      </c>
    </row>
    <row r="18" spans="2:3">
      <c r="B18" s="4">
        <f>(B15-H1)/(H1-1)</f>
        <v>0.0276807465213265</v>
      </c>
      <c r="C18" s="20" t="s">
        <v>12</v>
      </c>
    </row>
    <row r="20" spans="1:1">
      <c r="A20" t="s">
        <v>13</v>
      </c>
    </row>
    <row r="21" spans="2:3">
      <c r="B21" s="4">
        <f>B18/VLOOKUP(H1,A26:B34,2,FALSE())</f>
        <v>0.0477254250367698</v>
      </c>
      <c r="C21" t="str">
        <f>IF(B21&lt;0.1,"👍 Konsisten","🚫 Tidak Konsisten")</f>
        <v>👍 Konsisten</v>
      </c>
    </row>
    <row r="22" spans="2:2">
      <c r="B22" s="4"/>
    </row>
    <row r="23" spans="2:2">
      <c r="B23" s="4"/>
    </row>
    <row r="24" spans="2:2">
      <c r="B24" s="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H34"/>
  <sheetViews>
    <sheetView workbookViewId="0">
      <selection activeCell="H10" sqref="H10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C1" s="5" t="str">
        <f>Criteria!B3</f>
        <v>Harga</v>
      </c>
      <c r="G1" t="s">
        <v>1</v>
      </c>
      <c r="H1" s="9">
        <v>3</v>
      </c>
    </row>
    <row r="2" spans="3:5">
      <c r="C2" s="7" t="str">
        <f>B3</f>
        <v>Ani</v>
      </c>
      <c r="D2" s="7" t="str">
        <f>B4</f>
        <v>Budi</v>
      </c>
      <c r="E2" s="7" t="str">
        <f>B5</f>
        <v>Charlie</v>
      </c>
    </row>
    <row r="3" spans="1:5">
      <c r="A3" t="s">
        <v>15</v>
      </c>
      <c r="B3" s="17" t="s">
        <v>16</v>
      </c>
      <c r="C3">
        <v>1</v>
      </c>
      <c r="D3">
        <f>1/C4</f>
        <v>0.333333333333333</v>
      </c>
      <c r="E3">
        <f>1/C5</f>
        <v>0.2</v>
      </c>
    </row>
    <row r="4" spans="1:5">
      <c r="A4" t="s">
        <v>17</v>
      </c>
      <c r="B4" s="17" t="s">
        <v>18</v>
      </c>
      <c r="C4" s="9">
        <v>3</v>
      </c>
      <c r="D4">
        <v>1</v>
      </c>
      <c r="E4" s="10">
        <f>1/D5</f>
        <v>0.333333333333333</v>
      </c>
    </row>
    <row r="5" spans="1:5">
      <c r="A5" t="s">
        <v>19</v>
      </c>
      <c r="B5" s="17" t="s">
        <v>20</v>
      </c>
      <c r="C5" s="9">
        <v>5</v>
      </c>
      <c r="D5" s="9">
        <v>3</v>
      </c>
      <c r="E5">
        <v>1</v>
      </c>
    </row>
    <row r="6" spans="3:8">
      <c r="C6" s="11">
        <f>SUM(C3:C5)</f>
        <v>9</v>
      </c>
      <c r="D6" s="11">
        <f>SUM(D3:D5)</f>
        <v>4.33333333333333</v>
      </c>
      <c r="E6" s="12">
        <f>SUM(E3:E5)</f>
        <v>1.53333333333333</v>
      </c>
      <c r="H6" s="13"/>
    </row>
    <row r="7" spans="3:8">
      <c r="C7" s="11"/>
      <c r="D7" s="11"/>
      <c r="E7" s="11"/>
      <c r="H7" s="13"/>
    </row>
    <row r="8" spans="1:8">
      <c r="A8" s="4" t="s">
        <v>8</v>
      </c>
      <c r="H8" s="13"/>
    </row>
    <row r="9" spans="3:8">
      <c r="C9" s="7" t="str">
        <f>C2</f>
        <v>Ani</v>
      </c>
      <c r="D9" s="7" t="str">
        <f>D2</f>
        <v>Budi</v>
      </c>
      <c r="E9" s="7" t="str">
        <f>E2</f>
        <v>Charlie</v>
      </c>
      <c r="F9" t="s">
        <v>9</v>
      </c>
      <c r="H9" s="13"/>
    </row>
    <row r="10" spans="2:8">
      <c r="B10" s="7" t="str">
        <f>B3</f>
        <v>Ani</v>
      </c>
      <c r="C10" s="14">
        <f>C3/C$6</f>
        <v>0.111111111111111</v>
      </c>
      <c r="D10" s="14">
        <f>D3/D$6</f>
        <v>0.0769230769230769</v>
      </c>
      <c r="E10" s="14">
        <f>E3/E$6</f>
        <v>0.130434782608696</v>
      </c>
      <c r="F10">
        <f t="shared" ref="F10:F12" si="0">AVERAGE(C10:E10)</f>
        <v>0.106156323547628</v>
      </c>
      <c r="G10" s="4">
        <f t="shared" ref="G10:G12" si="1">RANK(F10,$F$10:$F$12)</f>
        <v>3</v>
      </c>
      <c r="H10" s="13"/>
    </row>
    <row r="11" spans="2:8">
      <c r="B11" s="7" t="str">
        <f>B4</f>
        <v>Budi</v>
      </c>
      <c r="C11" s="14">
        <f>C4/C$6</f>
        <v>0.333333333333333</v>
      </c>
      <c r="D11" s="14">
        <f>D4/D$6</f>
        <v>0.230769230769231</v>
      </c>
      <c r="E11" s="14">
        <f>E4/E$6</f>
        <v>0.217391304347826</v>
      </c>
      <c r="F11">
        <f t="shared" si="0"/>
        <v>0.26049795615013</v>
      </c>
      <c r="G11" s="4">
        <f t="shared" si="1"/>
        <v>2</v>
      </c>
      <c r="H11" s="13"/>
    </row>
    <row r="12" spans="2:8">
      <c r="B12" s="7" t="str">
        <f>B5</f>
        <v>Charlie</v>
      </c>
      <c r="C12" s="14">
        <f>C5/C$6</f>
        <v>0.555555555555556</v>
      </c>
      <c r="D12" s="14">
        <f>D5/D$6</f>
        <v>0.692307692307692</v>
      </c>
      <c r="E12" s="14">
        <f>E5/E$6</f>
        <v>0.652173913043478</v>
      </c>
      <c r="F12">
        <f t="shared" si="0"/>
        <v>0.633345720302242</v>
      </c>
      <c r="G12" s="4">
        <f t="shared" si="1"/>
        <v>1</v>
      </c>
      <c r="H12" s="13"/>
    </row>
    <row r="13" spans="3:8">
      <c r="C13" s="11"/>
      <c r="D13" s="11"/>
      <c r="E13" s="11"/>
      <c r="H13" s="13"/>
    </row>
    <row r="14" spans="1:8">
      <c r="A14" t="s">
        <v>10</v>
      </c>
      <c r="C14" s="11"/>
      <c r="D14" s="11"/>
      <c r="E14" s="11"/>
      <c r="H14" s="13"/>
    </row>
    <row r="15" spans="2:8">
      <c r="B15" s="4">
        <f>C6*F10+D6*F11+E6*F12</f>
        <v>3.05536149304265</v>
      </c>
      <c r="C15" s="11"/>
      <c r="D15" s="11"/>
      <c r="E15" s="11"/>
      <c r="H15" s="13"/>
    </row>
    <row r="17" spans="1:1">
      <c r="A17" t="s">
        <v>11</v>
      </c>
    </row>
    <row r="18" spans="2:3">
      <c r="B18" s="4">
        <f>(B15-H1)/(H1-1)</f>
        <v>0.0276807465213262</v>
      </c>
      <c r="C18" s="20" t="s">
        <v>12</v>
      </c>
    </row>
    <row r="20" spans="1:1">
      <c r="A20" t="s">
        <v>13</v>
      </c>
    </row>
    <row r="21" spans="2:3">
      <c r="B21" s="4">
        <f>B18/VLOOKUP(H1,A26:B34,2,FALSE())</f>
        <v>0.0477254250367694</v>
      </c>
      <c r="C21" t="str">
        <f>IF(B21&lt;0.1,"👍 Konsisten","🚫 Tidak Konsisten")</f>
        <v>👍 Konsisten</v>
      </c>
    </row>
    <row r="22" spans="2:2">
      <c r="B22" s="4"/>
    </row>
    <row r="23" spans="2:2">
      <c r="B23" s="4"/>
    </row>
    <row r="24" spans="2:2">
      <c r="B24" s="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H34"/>
  <sheetViews>
    <sheetView tabSelected="1" workbookViewId="0">
      <selection activeCell="C15" sqref="C15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C1" s="5" t="str">
        <f>Criteria!B4</f>
        <v>Kualitas</v>
      </c>
      <c r="G1" t="s">
        <v>1</v>
      </c>
      <c r="H1" s="6">
        <f>Criteria!H1</f>
        <v>3</v>
      </c>
    </row>
    <row r="2" spans="3:5">
      <c r="C2" s="7" t="str">
        <f>B3</f>
        <v>Ani</v>
      </c>
      <c r="D2" s="7" t="str">
        <f>B4</f>
        <v>Budi</v>
      </c>
      <c r="E2" s="7" t="str">
        <f>B5</f>
        <v>Charlie</v>
      </c>
    </row>
    <row r="3" spans="1:5">
      <c r="A3" t="s">
        <v>15</v>
      </c>
      <c r="B3" s="8" t="str">
        <f>'C1'!B3</f>
        <v>Ani</v>
      </c>
      <c r="C3">
        <v>1</v>
      </c>
      <c r="D3">
        <f>1/C4</f>
        <v>3</v>
      </c>
      <c r="E3">
        <f>1/C5</f>
        <v>0.5</v>
      </c>
    </row>
    <row r="4" spans="1:5">
      <c r="A4" t="s">
        <v>17</v>
      </c>
      <c r="B4" s="8" t="str">
        <f>'C1'!B4</f>
        <v>Budi</v>
      </c>
      <c r="C4" s="9">
        <f>1/3</f>
        <v>0.333333333333333</v>
      </c>
      <c r="D4">
        <v>1</v>
      </c>
      <c r="E4" s="10">
        <f>1/D5</f>
        <v>0.333333333333333</v>
      </c>
    </row>
    <row r="5" spans="1:5">
      <c r="A5" t="s">
        <v>19</v>
      </c>
      <c r="B5" s="8" t="str">
        <f>'C1'!B5</f>
        <v>Charlie</v>
      </c>
      <c r="C5" s="9">
        <v>2</v>
      </c>
      <c r="D5" s="9">
        <v>3</v>
      </c>
      <c r="E5">
        <v>1</v>
      </c>
    </row>
    <row r="6" spans="3:8">
      <c r="C6" s="11">
        <f>SUM(C3:C5)</f>
        <v>3.33333333333333</v>
      </c>
      <c r="D6" s="11">
        <f>SUM(D3:D5)</f>
        <v>7</v>
      </c>
      <c r="E6" s="12">
        <f>SUM(E3:E5)</f>
        <v>1.83333333333333</v>
      </c>
      <c r="H6" s="13"/>
    </row>
    <row r="7" spans="3:8">
      <c r="C7" s="11"/>
      <c r="D7" s="11"/>
      <c r="E7" s="11"/>
      <c r="H7" s="13"/>
    </row>
    <row r="8" spans="1:8">
      <c r="A8" s="4" t="s">
        <v>8</v>
      </c>
      <c r="H8" s="13"/>
    </row>
    <row r="9" spans="3:8">
      <c r="C9" s="7" t="str">
        <f>C2</f>
        <v>Ani</v>
      </c>
      <c r="D9" s="7" t="str">
        <f>D2</f>
        <v>Budi</v>
      </c>
      <c r="E9" s="7" t="str">
        <f>E2</f>
        <v>Charlie</v>
      </c>
      <c r="F9" t="s">
        <v>9</v>
      </c>
      <c r="H9" s="13"/>
    </row>
    <row r="10" spans="2:8">
      <c r="B10" s="7" t="str">
        <f>B3</f>
        <v>Ani</v>
      </c>
      <c r="C10" s="14">
        <f>C3/C$6</f>
        <v>0.3</v>
      </c>
      <c r="D10" s="14">
        <f>D3/D$6</f>
        <v>0.428571428571429</v>
      </c>
      <c r="E10" s="14">
        <f>E3/E$6</f>
        <v>0.272727272727273</v>
      </c>
      <c r="F10">
        <f t="shared" ref="F10:F12" si="0">AVERAGE(C10:E10)</f>
        <v>0.333766233766234</v>
      </c>
      <c r="G10" s="4">
        <f t="shared" ref="G10:G12" si="1">RANK(F10,$F$10:$F$12)</f>
        <v>2</v>
      </c>
      <c r="H10" s="13"/>
    </row>
    <row r="11" spans="2:8">
      <c r="B11" s="7" t="str">
        <f>B4</f>
        <v>Budi</v>
      </c>
      <c r="C11" s="14">
        <f>C4/C$6</f>
        <v>0.0999999999999999</v>
      </c>
      <c r="D11" s="14">
        <f>D4/D$6</f>
        <v>0.142857142857143</v>
      </c>
      <c r="E11" s="14">
        <f>E4/E$6</f>
        <v>0.181818181818182</v>
      </c>
      <c r="F11">
        <f t="shared" si="0"/>
        <v>0.141558441558442</v>
      </c>
      <c r="G11" s="4">
        <f t="shared" si="1"/>
        <v>3</v>
      </c>
      <c r="H11" s="13"/>
    </row>
    <row r="12" spans="2:8">
      <c r="B12" s="7" t="str">
        <f>B5</f>
        <v>Charlie</v>
      </c>
      <c r="C12" s="14">
        <f>C5/C$6</f>
        <v>0.6</v>
      </c>
      <c r="D12" s="14">
        <f>D5/D$6</f>
        <v>0.428571428571429</v>
      </c>
      <c r="E12" s="14">
        <f>E5/E$6</f>
        <v>0.545454545454546</v>
      </c>
      <c r="F12">
        <f t="shared" si="0"/>
        <v>0.524675324675325</v>
      </c>
      <c r="G12" s="4">
        <f t="shared" si="1"/>
        <v>1</v>
      </c>
      <c r="H12" s="13"/>
    </row>
    <row r="13" spans="3:8">
      <c r="C13" s="11"/>
      <c r="D13" s="11"/>
      <c r="E13" s="11"/>
      <c r="H13" s="13"/>
    </row>
    <row r="14" spans="1:8">
      <c r="A14" t="s">
        <v>10</v>
      </c>
      <c r="C14" s="11"/>
      <c r="D14" s="11"/>
      <c r="E14" s="11"/>
      <c r="H14" s="13"/>
    </row>
    <row r="15" spans="2:8">
      <c r="B15" s="4">
        <f>C6*F10+D6*F11+E6*F12</f>
        <v>3.06536796536797</v>
      </c>
      <c r="C15" s="11"/>
      <c r="D15" s="11"/>
      <c r="E15" s="11"/>
      <c r="H15" s="13"/>
    </row>
    <row r="17" spans="1:1">
      <c r="A17" t="s">
        <v>11</v>
      </c>
    </row>
    <row r="18" spans="2:3">
      <c r="B18" s="4">
        <f>(B15-H1)/(H1-1)</f>
        <v>0.0326839826839831</v>
      </c>
      <c r="C18" s="20" t="s">
        <v>12</v>
      </c>
    </row>
    <row r="20" spans="1:1">
      <c r="A20" t="s">
        <v>13</v>
      </c>
    </row>
    <row r="21" spans="2:3">
      <c r="B21" s="4">
        <f>B18/VLOOKUP(H1,A26:B34,2,FALSE())</f>
        <v>0.0563516942827295</v>
      </c>
      <c r="C21" t="str">
        <f>IF(B21&lt;0.1,"👍 Konsisten","🚫 Tidak Konsisten")</f>
        <v>👍 Konsisten</v>
      </c>
    </row>
    <row r="22" spans="2:2">
      <c r="B22" s="4"/>
    </row>
    <row r="23" spans="2:2">
      <c r="B23" s="4"/>
    </row>
    <row r="24" spans="2:2">
      <c r="B24" s="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H34"/>
  <sheetViews>
    <sheetView workbookViewId="0">
      <selection activeCell="H1" sqref="H1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C1" s="5" t="str">
        <f>Criteria!B5</f>
        <v>Pengiriman</v>
      </c>
      <c r="G1" t="s">
        <v>1</v>
      </c>
      <c r="H1" s="6">
        <f>Criteria!H1</f>
        <v>3</v>
      </c>
    </row>
    <row r="2" spans="3:5">
      <c r="C2" s="7" t="str">
        <f>B3</f>
        <v>Ani</v>
      </c>
      <c r="D2" s="7" t="str">
        <f>B4</f>
        <v>Budi</v>
      </c>
      <c r="E2" s="7" t="str">
        <f>B5</f>
        <v>Charlie</v>
      </c>
    </row>
    <row r="3" spans="1:5">
      <c r="A3" t="s">
        <v>15</v>
      </c>
      <c r="B3" s="8" t="str">
        <f>'C1'!B3</f>
        <v>Ani</v>
      </c>
      <c r="C3">
        <v>1</v>
      </c>
      <c r="D3">
        <f>1/C4</f>
        <v>0.333333333333333</v>
      </c>
      <c r="E3">
        <f>1/C5</f>
        <v>0.2</v>
      </c>
    </row>
    <row r="4" spans="1:5">
      <c r="A4" t="s">
        <v>17</v>
      </c>
      <c r="B4" s="8" t="str">
        <f>'C1'!B4</f>
        <v>Budi</v>
      </c>
      <c r="C4" s="9">
        <v>3</v>
      </c>
      <c r="D4">
        <v>1</v>
      </c>
      <c r="E4" s="10">
        <f>1/D5</f>
        <v>0.333333333333333</v>
      </c>
    </row>
    <row r="5" spans="1:5">
      <c r="A5" t="s">
        <v>19</v>
      </c>
      <c r="B5" s="8" t="str">
        <f>'C1'!B5</f>
        <v>Charlie</v>
      </c>
      <c r="C5" s="9">
        <v>5</v>
      </c>
      <c r="D5" s="9">
        <v>3</v>
      </c>
      <c r="E5">
        <v>1</v>
      </c>
    </row>
    <row r="6" spans="3:8">
      <c r="C6" s="11">
        <f>SUM(C3:C5)</f>
        <v>9</v>
      </c>
      <c r="D6" s="11">
        <f>SUM(D3:D5)</f>
        <v>4.33333333333333</v>
      </c>
      <c r="E6" s="12">
        <f>SUM(E3:E5)</f>
        <v>1.53333333333333</v>
      </c>
      <c r="H6" s="13"/>
    </row>
    <row r="7" spans="3:8">
      <c r="C7" s="11"/>
      <c r="D7" s="11"/>
      <c r="E7" s="11"/>
      <c r="H7" s="13"/>
    </row>
    <row r="8" spans="1:8">
      <c r="A8" s="4" t="s">
        <v>8</v>
      </c>
      <c r="H8" s="13"/>
    </row>
    <row r="9" spans="3:8">
      <c r="C9" s="7" t="str">
        <f>C2</f>
        <v>Ani</v>
      </c>
      <c r="D9" s="7" t="str">
        <f>D2</f>
        <v>Budi</v>
      </c>
      <c r="E9" s="7" t="str">
        <f>E2</f>
        <v>Charlie</v>
      </c>
      <c r="F9" t="s">
        <v>9</v>
      </c>
      <c r="H9" s="13"/>
    </row>
    <row r="10" spans="2:8">
      <c r="B10" s="7" t="str">
        <f>B3</f>
        <v>Ani</v>
      </c>
      <c r="C10" s="14">
        <f>C3/C$6</f>
        <v>0.111111111111111</v>
      </c>
      <c r="D10" s="14">
        <f>D3/D$6</f>
        <v>0.0769230769230769</v>
      </c>
      <c r="E10" s="14">
        <f>E3/E$6</f>
        <v>0.130434782608696</v>
      </c>
      <c r="F10">
        <f t="shared" ref="F10:F12" si="0">AVERAGE(C10:E10)</f>
        <v>0.106156323547628</v>
      </c>
      <c r="G10" s="4">
        <f t="shared" ref="G10:G12" si="1">RANK(F10,$F$10:$F$12)</f>
        <v>3</v>
      </c>
      <c r="H10" s="13"/>
    </row>
    <row r="11" spans="2:8">
      <c r="B11" s="7" t="str">
        <f>B4</f>
        <v>Budi</v>
      </c>
      <c r="C11" s="14">
        <f>C4/C$6</f>
        <v>0.333333333333333</v>
      </c>
      <c r="D11" s="14">
        <f>D4/D$6</f>
        <v>0.230769230769231</v>
      </c>
      <c r="E11" s="14">
        <f>E4/E$6</f>
        <v>0.217391304347826</v>
      </c>
      <c r="F11">
        <f t="shared" si="0"/>
        <v>0.26049795615013</v>
      </c>
      <c r="G11" s="4">
        <f t="shared" si="1"/>
        <v>2</v>
      </c>
      <c r="H11" s="13"/>
    </row>
    <row r="12" spans="2:8">
      <c r="B12" s="7" t="str">
        <f>B5</f>
        <v>Charlie</v>
      </c>
      <c r="C12" s="14">
        <f>C5/C$6</f>
        <v>0.555555555555556</v>
      </c>
      <c r="D12" s="14">
        <f>D5/D$6</f>
        <v>0.692307692307692</v>
      </c>
      <c r="E12" s="14">
        <f>E5/E$6</f>
        <v>0.652173913043478</v>
      </c>
      <c r="F12">
        <f t="shared" si="0"/>
        <v>0.633345720302242</v>
      </c>
      <c r="G12" s="4">
        <f t="shared" si="1"/>
        <v>1</v>
      </c>
      <c r="H12" s="13"/>
    </row>
    <row r="13" spans="3:8">
      <c r="C13" s="11"/>
      <c r="D13" s="11"/>
      <c r="E13" s="11"/>
      <c r="H13" s="13"/>
    </row>
    <row r="14" spans="1:8">
      <c r="A14" t="s">
        <v>10</v>
      </c>
      <c r="C14" s="11"/>
      <c r="D14" s="11"/>
      <c r="E14" s="11"/>
      <c r="H14" s="13"/>
    </row>
    <row r="15" spans="2:8">
      <c r="B15" s="4">
        <f>C6*F10+D6*F11+E6*F12</f>
        <v>3.05536149304265</v>
      </c>
      <c r="C15" s="11"/>
      <c r="D15" s="11"/>
      <c r="E15" s="11"/>
      <c r="H15" s="13"/>
    </row>
    <row r="17" spans="1:1">
      <c r="A17" t="s">
        <v>11</v>
      </c>
    </row>
    <row r="18" spans="2:3">
      <c r="B18" s="4">
        <f>(B15-H1)/(H1-1)</f>
        <v>0.0276807465213249</v>
      </c>
      <c r="C18" s="20" t="s">
        <v>12</v>
      </c>
    </row>
    <row r="20" spans="1:1">
      <c r="A20" t="s">
        <v>13</v>
      </c>
    </row>
    <row r="21" spans="2:3">
      <c r="B21" s="4">
        <f>B18/VLOOKUP(H1,A26:B34,2,FALSE())</f>
        <v>0.0477254250367671</v>
      </c>
      <c r="C21" t="str">
        <f>IF(B21&lt;0.1,"👍 Konsisten","🚫 Tidak Konsisten")</f>
        <v>👍 Konsisten</v>
      </c>
    </row>
    <row r="22" spans="2:2">
      <c r="B22" s="4"/>
    </row>
    <row r="23" spans="2:2">
      <c r="B23" s="4"/>
    </row>
    <row r="24" spans="2:2">
      <c r="B24" s="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F9" sqref="F9"/>
    </sheetView>
  </sheetViews>
  <sheetFormatPr defaultColWidth="9.14285714285714" defaultRowHeight="15" outlineLevelCol="2"/>
  <cols>
    <col min="2" max="3" width="12.8571428571429"/>
  </cols>
  <sheetData>
    <row r="2" spans="1:2">
      <c r="A2" t="str">
        <f>'C1'!B3</f>
        <v>Ani</v>
      </c>
      <c r="B2">
        <f>(Criteria!F10*'C1'!F10)+(Criteria!F11*'C2'!F10)+(Criteria!F12*'C3'!F10)</f>
        <v>0.25031208608296</v>
      </c>
    </row>
    <row r="3" spans="1:2">
      <c r="A3" t="str">
        <f>'C1'!B4</f>
        <v>Budi</v>
      </c>
      <c r="B3">
        <f>(Criteria!F10*'C1'!F11)+(Criteria!F11*'C2'!F11)+(Criteria!F12*'C3'!F11)</f>
        <v>0.185168123608658</v>
      </c>
    </row>
    <row r="4" spans="1:2">
      <c r="A4" t="str">
        <f>'C1'!B5</f>
        <v>Charlie</v>
      </c>
      <c r="B4">
        <f>(Criteria!F10*'C1'!F12)+(Criteria!F11*'C2'!F12)+(Criteria!F12*'C3'!F12)</f>
        <v>0.564519790308383</v>
      </c>
    </row>
    <row r="5" spans="2:3">
      <c r="B5" s="1">
        <f>SUM(B2:B4)</f>
        <v>1</v>
      </c>
      <c r="C5" s="2" t="str">
        <f>IF(B5=1,"perhitungan benar","perhitungan salah")</f>
        <v>perhitungan benar</v>
      </c>
    </row>
    <row r="8" spans="1:1">
      <c r="A8" t="s">
        <v>21</v>
      </c>
    </row>
    <row r="9" ht="15.75" spans="2:2">
      <c r="B9" s="3" t="str" cm="1">
        <f t="array" ref="B9">INDEX(A2:A4,MATCH(MAX(B2:B4),B2:B4,0))</f>
        <v>Charlie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Criteria</vt:lpstr>
      <vt:lpstr>C1</vt:lpstr>
      <vt:lpstr>C2</vt:lpstr>
      <vt:lpstr>C3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 Tay Yap</cp:lastModifiedBy>
  <dcterms:created xsi:type="dcterms:W3CDTF">2025-10-13T09:45:00Z</dcterms:created>
  <dcterms:modified xsi:type="dcterms:W3CDTF">2025-12-06T05:01:39Z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8C89C31739C44E7E91A6244DBCB2CA98_13</vt:lpwstr>
  </property>
  <property fmtid="{D5CDD505-2E9C-101B-9397-08002B2CF9AE}" pid="3" name="KSOProductBuildVer">
    <vt:lpwstr>1033-12.2.0.23155</vt:lpwstr>
  </property>
</Properties>
</file>