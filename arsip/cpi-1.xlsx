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<sst xmlns="http://schemas.openxmlformats.org/spreadsheetml/2006/main" count="17" uniqueCount="16">
  <si>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Template perhitungan CPI</t>
  </si>
  <si>
    <t>Biaya</t>
  </si>
  <si>
    <t>Kualitas</t>
  </si>
  <si>
    <t>Layanan</t>
  </si>
  <si>
    <t>Jenis kriteria</t>
  </si>
  <si>
    <t>cost</t>
  </si>
  <si>
    <t>benefit</t>
  </si>
  <si>
    <t>Bobot</t>
  </si>
  <si>
    <t>Normalisasi</t>
  </si>
  <si>
    <t>CPI</t>
  </si>
  <si>
    <t>Alternatif</t>
  </si>
  <si>
    <t>A1</t>
  </si>
  <si>
    <t>A2</t>
  </si>
  <si>
    <t>A3</t>
  </si>
  <si>
    <t>Min</t>
  </si>
  <si>
    <t>Alternatif terbaik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</si>
</sst>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Font="1"/>
    <xf numFmtId="0" fontId="3" fillId="0" borderId="0" xfId="0" applyNumberFormat="1" applyFont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2" fillId="0" borderId="1" xfId="0" applyFont="1" applyBorder="1"/>
    <xf numFmtId="0" fontId="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B10" sqref="B10"/>
    </sheetView>
  </sheetViews>
  <sheetFormatPr defaultColWidth="9" defaultRowHeight="15"/>
  <cols>
    <col min="1" max="1" width="12.4285714285714" customWidth="1"/>
    <col min="2" max="2" width="12.2857142857143" customWidth="1"/>
    <col min="3" max="3" width="17.8571428571429" customWidth="1"/>
    <col min="4" max="4" width="18" customWidth="1"/>
    <col min="5" max="5" width="6.85714285714286" customWidth="1"/>
    <col min="6" max="8" width="14.7142857142857" customWidth="1"/>
    <col min="9" max="9" width="12.8571428571429"/>
  </cols>
  <sheetData>
    <row r="1" ht="18.75" spans="1:1">
      <c r="A1" s="1" t="s">
        <v>0</v>
      </c>
    </row>
    <row r="2" ht="18.75" spans="1:1">
      <c r="A2" s="1"/>
    </row>
    <row r="3" spans="1:5">
      <c r="A3" s="2"/>
      <c r="B3" s="3" t="s">
        <v>1</v>
      </c>
      <c r="C3" s="3" t="s">
        <v>2</v>
      </c>
      <c r="D3" s="3" t="s">
        <v>3</v>
      </c>
      <c r="E3" s="4"/>
    </row>
    <row r="4" spans="1:5">
      <c r="A4" s="5" t="s">
        <v>4</v>
      </c>
      <c r="B4" s="3" t="s">
        <v>5</v>
      </c>
      <c r="C4" s="3" t="s">
        <v>6</v>
      </c>
      <c r="D4" s="3" t="s">
        <v>6</v>
      </c>
      <c r="E4" s="4"/>
    </row>
    <row r="5" spans="1:5">
      <c r="A5" t="s">
        <v>7</v>
      </c>
      <c r="B5" s="3">
        <v>0.4</v>
      </c>
      <c r="C5" s="3">
        <v>0.35</v>
      </c>
      <c r="D5" s="3">
        <v>0.25</v>
      </c>
      <c r="E5" s="4"/>
    </row>
    <row r="6" spans="2:5">
      <c r="B6" s="4"/>
      <c r="C6" s="6">
        <f>SUM(B5:D5)</f>
        <v>1</v>
      </c>
      <c r="D6" t="str">
        <f>IF(C6=1,"==&gt; 👍 bobot valid","🚫 bobot tidak valid")</f>
        <v>==&gt; 👍 bobot valid</v>
      </c>
      <c r="E6" s="7"/>
    </row>
    <row r="7" spans="5:9">
      <c r="E7" s="7"/>
      <c r="F7" s="8" t="s">
        <v>8</v>
      </c>
      <c r="G7" s="8"/>
      <c r="H7" s="8"/>
      <c r="I7" s="10" t="s">
        <v>9</v>
      </c>
    </row>
    <row r="8" spans="1:9">
      <c r="A8" t="s">
        <v>10</v>
      </c>
      <c r="B8" t="str">
        <f>B3</f>
        <v>Biaya</v>
      </c>
      <c r="C8" t="str">
        <f>C3</f>
        <v>Kualitas</v>
      </c>
      <c r="D8" t="str">
        <f>D3</f>
        <v>Layanan</v>
      </c>
      <c r="E8" s="7"/>
      <c r="F8" s="9" t="str">
        <f>B3</f>
        <v>Biaya</v>
      </c>
      <c r="G8" s="9" t="str">
        <f>C3</f>
        <v>Kualitas</v>
      </c>
      <c r="H8" s="9" t="str">
        <f>D3</f>
        <v>Layanan</v>
      </c>
      <c r="I8" s="11"/>
    </row>
    <row r="9" spans="1:9">
      <c r="A9" s="3" t="s">
        <v>11</v>
      </c>
      <c r="B9" s="3">
        <v>50</v>
      </c>
      <c r="C9" s="3">
        <v>80</v>
      </c>
      <c r="D9" s="3">
        <v>70</v>
      </c>
      <c r="E9" s="4"/>
      <c r="F9" s="9">
        <f>$B$13/B9</f>
        <v>0.8</v>
      </c>
      <c r="G9" s="9">
        <f>C9/$C$13</f>
        <v>1.06666666666667</v>
      </c>
      <c r="H9" s="9">
        <f>D9/$D$13</f>
        <v>1</v>
      </c>
      <c r="I9" s="12">
        <f>F9*$B$5+G9*$C$5+H9*$D$5</f>
        <v>0.943333333333333</v>
      </c>
    </row>
    <row r="10" spans="1:9">
      <c r="A10" s="3" t="s">
        <v>12</v>
      </c>
      <c r="B10" s="3">
        <v>40</v>
      </c>
      <c r="C10" s="3">
        <v>75</v>
      </c>
      <c r="D10" s="3">
        <v>85</v>
      </c>
      <c r="E10" s="4"/>
      <c r="F10" s="9">
        <f>$B$13/B10</f>
        <v>1</v>
      </c>
      <c r="G10" s="9">
        <f>C10/$C$13</f>
        <v>1</v>
      </c>
      <c r="H10" s="9">
        <f>D10/$D$13</f>
        <v>1.21428571428571</v>
      </c>
      <c r="I10" s="12">
        <f>F10*$B$5+G10*$C$5+H10*$D$5</f>
        <v>1.05357142857143</v>
      </c>
    </row>
    <row r="11" spans="1:9">
      <c r="A11" s="3" t="s">
        <v>13</v>
      </c>
      <c r="B11" s="3">
        <v>45</v>
      </c>
      <c r="C11" s="3">
        <v>90</v>
      </c>
      <c r="D11" s="3">
        <v>75</v>
      </c>
      <c r="E11" s="4"/>
      <c r="F11" s="9">
        <f>$B$13/B11</f>
        <v>0.888888888888889</v>
      </c>
      <c r="G11" s="9">
        <f>C11/$C$13</f>
        <v>1.2</v>
      </c>
      <c r="H11" s="9">
        <f>D11/$D$13</f>
        <v>1.07142857142857</v>
      </c>
      <c r="I11" s="12">
        <f>F11*$B$5+G11*$C$5+H11*$D$5</f>
        <v>1.0434126984127</v>
      </c>
    </row>
    <row r="13" spans="1:9">
      <c r="A13" t="s">
        <v>14</v>
      </c>
      <c r="B13">
        <f>MIN(B9:B11)</f>
        <v>40</v>
      </c>
      <c r="C13">
        <f>MIN(C9:C11)</f>
        <v>75</v>
      </c>
      <c r="D13">
        <f>MIN(D9:D11)</f>
        <v>70</v>
      </c>
      <c r="I13" s="2" t="s">
        <v>15</v>
      </c>
    </row>
    <row r="14" spans="9:9">
      <c r="I14" s="13" t="str" cm="1">
        <f t="array" ref="I14">INDEX(A9:A11,MATCH(I15,I9:I11,FALSE),1)</f>
        <v>A2</v>
      </c>
    </row>
    <row r="15" spans="9:9">
      <c r="I15">
        <f>MAX(I9:I11)</f>
        <v>1.05357142857143</v>
      </c>
    </row>
  </sheetData>
  <mergeCells count="2">
    <mergeCell ref="F7:H7"/>
    <mergeCell ref="I7:I8"/>
  </mergeCells>
  <dataValidations count="1">
    <dataValidation type="list" allowBlank="1" showInputMessage="1" showErrorMessage="1" sqref="B4:D4 E4">
      <formula1>"cost,benefit"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google1585754815</cp:lastModifiedBy>
  <dcterms:created xsi:type="dcterms:W3CDTF">2025-12-15T04:42:00Z</dcterms:created>
  <dcterms:modified xsi:type="dcterms:W3CDTF">2025-12-15T09:52:22Z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B842CCB1B6614479AF7CB074F5336306_13</vt:lpwstr>
  </property>
  <property fmtid="{D5CDD505-2E9C-101B-9397-08002B2CF9AE}" pid="3" name="KSOProductBuildVer">
    <vt:lpwstr>1033-12.2.0.23155</vt:lpwstr>
  </property>
</Properties>
</file>